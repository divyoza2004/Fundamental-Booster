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metadata.xml" ContentType="application/vnd.openxmlformats-officedocument.spreadsheetml.sheetMetadata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166925"/>
  <mc:AlternateContent xmlns:mc="http://schemas.openxmlformats.org/markup-compatibility/2006">
    <mc:Choice Requires="x15">
      <x15ac:absPath xmlns:x15ac="http://schemas.microsoft.com/office/spreadsheetml/2010/11/ac" url="D:\Divy Notes\Excel Notes\"/>
    </mc:Choice>
  </mc:AlternateContent>
  <xr:revisionPtr revIDLastSave="0" documentId="13_ncr:1_{3CCBFFEE-75AF-4195-BDB7-B70AABC8EFEE}" xr6:coauthVersionLast="47" xr6:coauthVersionMax="47" xr10:uidLastSave="{00000000-0000-0000-0000-000000000000}"/>
  <bookViews>
    <workbookView xWindow="-108" yWindow="-108" windowWidth="23256" windowHeight="12456" firstSheet="1" activeTab="2" xr2:uid="{40E7035E-11F8-4D3A-BC70-AE6F945DFAA8}"/>
  </bookViews>
  <sheets>
    <sheet name="Student Grade" sheetId="1" r:id="rId1"/>
    <sheet name="Sales Data" sheetId="2" r:id="rId2"/>
    <sheet name="Employees Data" sheetId="3" r:id="rId3"/>
  </sheets>
  <calcPr calcId="191029" calcMode="manual" iterateDelta="1E-4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5" i="3" l="1"/>
  <c r="T15" i="2" a="1"/>
  <c r="V9" i="2"/>
  <c r="V8" i="2"/>
  <c r="V7" i="2"/>
  <c r="V6" i="2"/>
  <c r="W7" i="2"/>
  <c r="W6" i="2"/>
  <c r="W8" i="2"/>
  <c r="W9" i="2"/>
  <c r="U9" i="2"/>
  <c r="U8" i="2"/>
  <c r="U7" i="2"/>
  <c r="U6" i="2"/>
  <c r="T9" i="2"/>
  <c r="T8" i="2"/>
  <c r="T7" i="2"/>
  <c r="T6" i="2"/>
  <c r="S6" i="2"/>
  <c r="S9" i="2"/>
  <c r="S8" i="2"/>
  <c r="S7" i="2"/>
  <c r="P11" i="2"/>
  <c r="Y10" i="1"/>
  <c r="O12" i="2"/>
  <c r="Z3" i="1"/>
  <c r="Q14" i="1"/>
  <c r="L6" i="2"/>
  <c r="I4" i="1"/>
  <c r="H4" i="1"/>
  <c r="P30" i="2"/>
  <c r="P27" i="2"/>
  <c r="P28" i="2"/>
  <c r="P29" i="2"/>
  <c r="P26" i="2"/>
  <c r="P25" i="2"/>
  <c r="P24" i="2"/>
  <c r="P23" i="2"/>
  <c r="P22" i="2"/>
  <c r="P21" i="2"/>
  <c r="P20" i="2"/>
  <c r="P19" i="2"/>
  <c r="P18" i="2"/>
  <c r="P17" i="2"/>
  <c r="P16" i="2"/>
  <c r="P15" i="2"/>
  <c r="P14" i="2"/>
  <c r="P13" i="2"/>
  <c r="P12" i="2"/>
  <c r="O26" i="2"/>
  <c r="O24" i="2"/>
  <c r="O14" i="2"/>
  <c r="O30" i="2"/>
  <c r="O29" i="2"/>
  <c r="O28" i="2"/>
  <c r="O27" i="2"/>
  <c r="O25" i="2"/>
  <c r="O23" i="2"/>
  <c r="O22" i="2"/>
  <c r="O21" i="2"/>
  <c r="O20" i="2"/>
  <c r="O19" i="2"/>
  <c r="O18" i="2"/>
  <c r="O17" i="2"/>
  <c r="O16" i="2"/>
  <c r="O15" i="2"/>
  <c r="O13" i="2"/>
  <c r="O11" i="2"/>
  <c r="Q15" i="1"/>
  <c r="Q16" i="1"/>
  <c r="Q17" i="1"/>
  <c r="Q18" i="1"/>
  <c r="Q19" i="1"/>
  <c r="Q20" i="1"/>
  <c r="Q21" i="1"/>
  <c r="Q22" i="1"/>
  <c r="Q23" i="1"/>
  <c r="Q24" i="1"/>
  <c r="Q25" i="1"/>
  <c r="Q26" i="1"/>
  <c r="Q27" i="1"/>
  <c r="Q28" i="1"/>
  <c r="Q29" i="1"/>
  <c r="Q30" i="1"/>
  <c r="Q31" i="1"/>
  <c r="Q32" i="1"/>
  <c r="Q33" i="1"/>
  <c r="Q3" i="1"/>
  <c r="G4" i="1"/>
  <c r="I5" i="1"/>
  <c r="I6" i="1"/>
  <c r="I7" i="1"/>
  <c r="I8" i="1"/>
  <c r="I9" i="1"/>
  <c r="I10" i="1"/>
  <c r="I11" i="1"/>
  <c r="I12" i="1"/>
  <c r="I13" i="1"/>
  <c r="I14" i="1"/>
  <c r="I15" i="1"/>
  <c r="I16" i="1"/>
  <c r="I17" i="1"/>
  <c r="I18" i="1"/>
  <c r="I19" i="1"/>
  <c r="I20" i="1"/>
  <c r="I21" i="1"/>
  <c r="I22" i="1"/>
  <c r="I23" i="1"/>
  <c r="G5" i="1"/>
  <c r="G6" i="1"/>
  <c r="G7" i="1"/>
  <c r="G8" i="1"/>
  <c r="G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H5" i="1"/>
  <c r="H6" i="1"/>
  <c r="H7" i="1"/>
  <c r="H8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L7" i="1" l="1" a="1"/>
  <c r="Z5" i="1"/>
</calcChain>
</file>

<file path=xl/metadata.xml><?xml version="1.0" encoding="utf-8"?>
<metadata xmlns="http://schemas.openxmlformats.org/spreadsheetml/2006/main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haredStrings.xml><?xml version="1.0" encoding="utf-8"?>
<sst xmlns="http://schemas.openxmlformats.org/spreadsheetml/2006/main" count="275" uniqueCount="119">
  <si>
    <t>Student ID</t>
  </si>
  <si>
    <t>Name</t>
  </si>
  <si>
    <t>Math</t>
  </si>
  <si>
    <t>Science</t>
  </si>
  <si>
    <t>English</t>
  </si>
  <si>
    <t>Enrollment Date</t>
  </si>
  <si>
    <t>Student 1</t>
  </si>
  <si>
    <t>Student 2</t>
  </si>
  <si>
    <t>Student 3</t>
  </si>
  <si>
    <t>Student 4</t>
  </si>
  <si>
    <t>Student 5</t>
  </si>
  <si>
    <t>Student 6</t>
  </si>
  <si>
    <t>Student 7</t>
  </si>
  <si>
    <t>Student 8</t>
  </si>
  <si>
    <t>Student 9</t>
  </si>
  <si>
    <t>Student 10</t>
  </si>
  <si>
    <t>Student 11</t>
  </si>
  <si>
    <t>Student 12</t>
  </si>
  <si>
    <t>Student 13</t>
  </si>
  <si>
    <t>Student 14</t>
  </si>
  <si>
    <t>Student 15</t>
  </si>
  <si>
    <t>Student 16</t>
  </si>
  <si>
    <t>Student 17</t>
  </si>
  <si>
    <t>Student 18</t>
  </si>
  <si>
    <t>Student 19</t>
  </si>
  <si>
    <t>Student 20</t>
  </si>
  <si>
    <t>Grade</t>
  </si>
  <si>
    <t>Schema-1: Student Grade</t>
  </si>
  <si>
    <t>Total</t>
  </si>
  <si>
    <t>Percentage</t>
  </si>
  <si>
    <t>Count Students Scoring Above 60 (COUNTIFS)</t>
  </si>
  <si>
    <t xml:space="preserve"> Filter Function to Extract Students Scoring Above 80</t>
  </si>
  <si>
    <t>Score above 80</t>
  </si>
  <si>
    <t>Average Score For Student Above 60</t>
  </si>
  <si>
    <t xml:space="preserve">Students Score Above 80 Marks in Maths and Science </t>
  </si>
  <si>
    <r>
      <rPr>
        <b/>
        <sz val="12"/>
        <color theme="1"/>
        <rFont val="Calibri"/>
        <family val="2"/>
        <scheme val="minor"/>
      </rPr>
      <t>Fetch Student Name Based on Id</t>
    </r>
    <r>
      <rPr>
        <b/>
        <sz val="18"/>
        <color theme="1"/>
        <rFont val="Calibri"/>
        <family val="2"/>
        <scheme val="minor"/>
      </rPr>
      <t xml:space="preserve"> </t>
    </r>
  </si>
  <si>
    <t xml:space="preserve">Schema-2: Sales Data </t>
  </si>
  <si>
    <t>Sales ID</t>
  </si>
  <si>
    <t>Product</t>
  </si>
  <si>
    <t>Region</t>
  </si>
  <si>
    <t>Salesperson</t>
  </si>
  <si>
    <t>Amount</t>
  </si>
  <si>
    <t>Date</t>
  </si>
  <si>
    <t>Keyboard</t>
  </si>
  <si>
    <t>South</t>
  </si>
  <si>
    <t>Person 1</t>
  </si>
  <si>
    <t>Printer</t>
  </si>
  <si>
    <t>West</t>
  </si>
  <si>
    <t>Person 2</t>
  </si>
  <si>
    <t>Mouse</t>
  </si>
  <si>
    <t>Person 3</t>
  </si>
  <si>
    <t>East</t>
  </si>
  <si>
    <t>Person 4</t>
  </si>
  <si>
    <t>North</t>
  </si>
  <si>
    <t>Person 5</t>
  </si>
  <si>
    <t>Person 6</t>
  </si>
  <si>
    <t>Person 7</t>
  </si>
  <si>
    <t>Person 8</t>
  </si>
  <si>
    <t>Person 9</t>
  </si>
  <si>
    <t>Person 10</t>
  </si>
  <si>
    <t>Person 11</t>
  </si>
  <si>
    <t>Monitor</t>
  </si>
  <si>
    <t>Person 12</t>
  </si>
  <si>
    <t>Laptop</t>
  </si>
  <si>
    <t>Person 13</t>
  </si>
  <si>
    <t>Person 14</t>
  </si>
  <si>
    <t>Person 15</t>
  </si>
  <si>
    <t>Person 16</t>
  </si>
  <si>
    <t>Person 17</t>
  </si>
  <si>
    <t>Person 18</t>
  </si>
  <si>
    <t>Person 19</t>
  </si>
  <si>
    <t>Person 20</t>
  </si>
  <si>
    <t xml:space="preserve">Schema-3: Employee Data </t>
  </si>
  <si>
    <t>Employee ID</t>
  </si>
  <si>
    <t>Department</t>
  </si>
  <si>
    <t>Salary</t>
  </si>
  <si>
    <t>Joining Date</t>
  </si>
  <si>
    <t>Employee 1</t>
  </si>
  <si>
    <t>Finance</t>
  </si>
  <si>
    <t>Employee 2</t>
  </si>
  <si>
    <t>Employee 3</t>
  </si>
  <si>
    <t>HR</t>
  </si>
  <si>
    <t>Employee 4</t>
  </si>
  <si>
    <t>Employee 5</t>
  </si>
  <si>
    <t>IT</t>
  </si>
  <si>
    <t>Employee 6</t>
  </si>
  <si>
    <t>Employee 7</t>
  </si>
  <si>
    <t>Marketing</t>
  </si>
  <si>
    <t>Employee 8</t>
  </si>
  <si>
    <t>Employee 9</t>
  </si>
  <si>
    <t>Employee 10</t>
  </si>
  <si>
    <t>Employee 11</t>
  </si>
  <si>
    <t>Employee 12</t>
  </si>
  <si>
    <t>Employee 13</t>
  </si>
  <si>
    <t>Employee 14</t>
  </si>
  <si>
    <t>Employee 15</t>
  </si>
  <si>
    <t>Employee 16</t>
  </si>
  <si>
    <t>Employee 17</t>
  </si>
  <si>
    <t>Employee 18</t>
  </si>
  <si>
    <t>Employee 19</t>
  </si>
  <si>
    <t>Employee 20</t>
  </si>
  <si>
    <t>Search Product Price From Sales  Data</t>
  </si>
  <si>
    <t>Sales Id</t>
  </si>
  <si>
    <t>Price/Amount</t>
  </si>
  <si>
    <t>Discount</t>
  </si>
  <si>
    <t>Discount Eligible/No Eligible</t>
  </si>
  <si>
    <r>
      <rPr>
        <b/>
        <sz val="12"/>
        <color theme="1"/>
        <rFont val="Calibri"/>
        <family val="2"/>
        <scheme val="minor"/>
      </rPr>
      <t>Product For Discount Eligible/ No Eligible</t>
    </r>
    <r>
      <rPr>
        <sz val="12"/>
        <color theme="1"/>
        <rFont val="Calibri"/>
        <family val="2"/>
        <scheme val="minor"/>
      </rPr>
      <t xml:space="preserve"> </t>
    </r>
  </si>
  <si>
    <t>Total Sales For a Specific Region and Product</t>
  </si>
  <si>
    <t xml:space="preserve">Mouse </t>
  </si>
  <si>
    <t xml:space="preserve">Printer </t>
  </si>
  <si>
    <t>To Find Sales Value for Specific SalePerson in specific Month</t>
  </si>
  <si>
    <t xml:space="preserve">Sales Person </t>
  </si>
  <si>
    <t>Month Number</t>
  </si>
  <si>
    <t>Result</t>
  </si>
  <si>
    <t>Fetch Employee Salary From Employee Id</t>
  </si>
  <si>
    <t>Salary Amount</t>
  </si>
  <si>
    <t xml:space="preserve">LookUp Employee Details </t>
  </si>
  <si>
    <t>Employee Id</t>
  </si>
  <si>
    <t>Employee5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</si>
</sst>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b/>
      <sz val="24"/>
      <color theme="0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8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20"/>
      <color theme="1"/>
      <name val="Calibri"/>
      <family val="2"/>
      <scheme val="minor"/>
    </font>
    <font>
      <sz val="11"/>
      <name val="Arial"/>
      <family val="2"/>
    </font>
  </fonts>
  <fills count="5">
    <fill>
      <patternFill patternType="none"/>
    </fill>
    <fill>
      <patternFill patternType="gray125"/>
    </fill>
    <fill>
      <patternFill patternType="solid">
        <fgColor rgb="FFFFF2CC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-0.249977111117893"/>
        <bgColor indexed="64"/>
      </patternFill>
    </fill>
  </fills>
  <borders count="29">
    <border>
      <left/>
      <right/>
      <top/>
      <bottom/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 style="medium">
        <color rgb="FF000000"/>
      </bottom>
      <diagonal/>
    </border>
    <border>
      <left style="medium">
        <color rgb="FFCCCCCC"/>
      </left>
      <right/>
      <top style="medium">
        <color rgb="FF000000"/>
      </top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 style="medium">
        <color rgb="FF000000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rgb="FF000000"/>
      </bottom>
      <diagonal/>
    </border>
    <border>
      <left style="medium">
        <color indexed="64"/>
      </left>
      <right style="medium">
        <color rgb="FF000000"/>
      </right>
      <top style="medium">
        <color rgb="FFCCCCCC"/>
      </top>
      <bottom style="medium">
        <color indexed="64"/>
      </bottom>
      <diagonal/>
    </border>
    <border>
      <left style="medium">
        <color rgb="FFCCCCCC"/>
      </left>
      <right/>
      <top/>
      <bottom style="medium">
        <color rgb="FF000000"/>
      </bottom>
      <diagonal/>
    </border>
    <border>
      <left style="medium">
        <color rgb="FFCCCCCC"/>
      </left>
      <right/>
      <top style="medium">
        <color rgb="FFCCCCCC"/>
      </top>
      <bottom/>
      <diagonal/>
    </border>
    <border>
      <left style="medium">
        <color indexed="64"/>
      </left>
      <right style="medium">
        <color rgb="FF000000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6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0" fillId="0" borderId="3" xfId="0" applyBorder="1" applyAlignment="1">
      <alignment horizontal="center" vertical="center" wrapText="1"/>
    </xf>
    <xf numFmtId="0" fontId="0" fillId="0" borderId="4" xfId="0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22" fontId="0" fillId="0" borderId="6" xfId="0" applyNumberFormat="1" applyBorder="1" applyAlignment="1">
      <alignment horizontal="center" vertical="center" wrapText="1"/>
    </xf>
    <xf numFmtId="0" fontId="1" fillId="3" borderId="8" xfId="0" applyFont="1" applyFill="1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1" fillId="0" borderId="7" xfId="0" applyFont="1" applyBorder="1" applyAlignment="1">
      <alignment horizontal="center" vertical="center"/>
    </xf>
    <xf numFmtId="0" fontId="4" fillId="4" borderId="15" xfId="0" applyFont="1" applyFill="1" applyBorder="1" applyAlignment="1">
      <alignment horizontal="center" vertical="center"/>
    </xf>
    <xf numFmtId="0" fontId="0" fillId="0" borderId="16" xfId="0" applyBorder="1"/>
    <xf numFmtId="0" fontId="4" fillId="4" borderId="20" xfId="0" applyFont="1" applyFill="1" applyBorder="1" applyAlignment="1">
      <alignment horizontal="center" vertical="center"/>
    </xf>
    <xf numFmtId="0" fontId="0" fillId="0" borderId="14" xfId="0" applyBorder="1"/>
    <xf numFmtId="0" fontId="0" fillId="0" borderId="0" xfId="0" applyAlignment="1">
      <alignment horizontal="center"/>
    </xf>
    <xf numFmtId="0" fontId="0" fillId="0" borderId="19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14" fontId="0" fillId="0" borderId="19" xfId="0" applyNumberForma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4" borderId="1" xfId="0" applyFont="1" applyFill="1" applyBorder="1" applyAlignment="1">
      <alignment horizontal="center" vertical="center" wrapText="1"/>
    </xf>
    <xf numFmtId="0" fontId="4" fillId="4" borderId="2" xfId="0" applyFont="1" applyFill="1" applyBorder="1" applyAlignment="1">
      <alignment horizontal="center" vertical="center" wrapText="1"/>
    </xf>
    <xf numFmtId="0" fontId="4" fillId="4" borderId="5" xfId="0" applyFont="1" applyFill="1" applyBorder="1" applyAlignment="1">
      <alignment horizontal="center" vertical="center" wrapText="1"/>
    </xf>
    <xf numFmtId="0" fontId="0" fillId="0" borderId="6" xfId="0" applyBorder="1" applyAlignment="1">
      <alignment horizontal="center" vertical="center" wrapText="1"/>
    </xf>
    <xf numFmtId="0" fontId="1" fillId="0" borderId="21" xfId="0" applyFont="1" applyBorder="1" applyAlignment="1">
      <alignment horizontal="center" vertical="center"/>
    </xf>
    <xf numFmtId="22" fontId="0" fillId="0" borderId="4" xfId="0" applyNumberFormat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1" fillId="0" borderId="0" xfId="0" applyFont="1"/>
    <xf numFmtId="0" fontId="0" fillId="0" borderId="22" xfId="0" applyBorder="1"/>
    <xf numFmtId="22" fontId="0" fillId="0" borderId="0" xfId="0" applyNumberFormat="1" applyAlignment="1">
      <alignment horizontal="center" vertical="center" wrapText="1"/>
    </xf>
    <xf numFmtId="0" fontId="4" fillId="4" borderId="23" xfId="0" applyFont="1" applyFill="1" applyBorder="1" applyAlignment="1">
      <alignment horizontal="center" vertical="center" wrapText="1"/>
    </xf>
    <xf numFmtId="22" fontId="0" fillId="0" borderId="24" xfId="0" applyNumberFormat="1" applyBorder="1" applyAlignment="1">
      <alignment horizontal="center" vertical="center" wrapText="1"/>
    </xf>
    <xf numFmtId="22" fontId="0" fillId="0" borderId="25" xfId="0" applyNumberFormat="1" applyBorder="1" applyAlignment="1">
      <alignment horizontal="center" vertical="center" wrapText="1"/>
    </xf>
    <xf numFmtId="22" fontId="0" fillId="0" borderId="26" xfId="0" applyNumberFormat="1" applyBorder="1" applyAlignment="1">
      <alignment horizontal="center" vertical="center" wrapText="1"/>
    </xf>
    <xf numFmtId="22" fontId="0" fillId="0" borderId="27" xfId="0" applyNumberFormat="1" applyBorder="1" applyAlignment="1">
      <alignment horizontal="center" vertical="center" wrapText="1"/>
    </xf>
    <xf numFmtId="0" fontId="0" fillId="0" borderId="20" xfId="0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/>
    </xf>
    <xf numFmtId="0" fontId="4" fillId="4" borderId="7" xfId="0" applyFont="1" applyFill="1" applyBorder="1" applyAlignment="1">
      <alignment horizontal="center" vertical="center" wrapText="1"/>
    </xf>
    <xf numFmtId="0" fontId="0" fillId="0" borderId="7" xfId="0" applyBorder="1" applyAlignment="1">
      <alignment horizontal="center" vertical="center" wrapText="1"/>
    </xf>
    <xf numFmtId="0" fontId="0" fillId="0" borderId="7" xfId="0" applyBorder="1"/>
    <xf numFmtId="0" fontId="3" fillId="4" borderId="0" xfId="0" applyFont="1" applyFill="1" applyAlignment="1">
      <alignment horizontal="center" vertical="center"/>
    </xf>
    <xf numFmtId="0" fontId="2" fillId="4" borderId="0" xfId="0" applyFont="1" applyFill="1" applyAlignment="1">
      <alignment horizontal="center" vertical="center"/>
    </xf>
    <xf numFmtId="0" fontId="6" fillId="3" borderId="10" xfId="0" applyFont="1" applyFill="1" applyBorder="1" applyAlignment="1">
      <alignment horizontal="center" vertical="center"/>
    </xf>
    <xf numFmtId="0" fontId="1" fillId="3" borderId="11" xfId="0" applyFont="1" applyFill="1" applyBorder="1" applyAlignment="1">
      <alignment horizontal="center" vertical="center"/>
    </xf>
    <xf numFmtId="0" fontId="1" fillId="3" borderId="12" xfId="0" applyFont="1" applyFill="1" applyBorder="1" applyAlignment="1">
      <alignment horizontal="center" vertical="center"/>
    </xf>
    <xf numFmtId="0" fontId="7" fillId="3" borderId="10" xfId="0" applyFont="1" applyFill="1" applyBorder="1" applyAlignment="1">
      <alignment horizontal="center" vertical="center"/>
    </xf>
    <xf numFmtId="0" fontId="8" fillId="3" borderId="11" xfId="0" applyFont="1" applyFill="1" applyBorder="1" applyAlignment="1">
      <alignment horizontal="center" vertical="center"/>
    </xf>
    <xf numFmtId="0" fontId="8" fillId="3" borderId="12" xfId="0" applyFont="1" applyFill="1" applyBorder="1" applyAlignment="1">
      <alignment horizontal="center" vertical="center"/>
    </xf>
    <xf numFmtId="0" fontId="1" fillId="3" borderId="10" xfId="0" applyFont="1" applyFill="1" applyBorder="1" applyAlignment="1">
      <alignment horizontal="center" vertical="center"/>
    </xf>
    <xf numFmtId="0" fontId="5" fillId="3" borderId="10" xfId="0" applyFont="1" applyFill="1" applyBorder="1" applyAlignment="1">
      <alignment horizontal="center" vertical="center"/>
    </xf>
    <xf numFmtId="0" fontId="5" fillId="3" borderId="11" xfId="0" applyFont="1" applyFill="1" applyBorder="1" applyAlignment="1">
      <alignment horizontal="center" vertical="center"/>
    </xf>
    <xf numFmtId="0" fontId="5" fillId="3" borderId="12" xfId="0" applyFont="1" applyFill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4" fillId="4" borderId="13" xfId="0" applyFont="1" applyFill="1" applyBorder="1" applyAlignment="1">
      <alignment horizontal="center" vertical="center" wrapText="1"/>
    </xf>
    <xf numFmtId="0" fontId="4" fillId="4" borderId="15" xfId="0" applyFont="1" applyFill="1" applyBorder="1" applyAlignment="1">
      <alignment horizontal="center" vertical="center" wrapText="1"/>
    </xf>
    <xf numFmtId="0" fontId="0" fillId="0" borderId="17" xfId="0" applyBorder="1" applyAlignment="1">
      <alignment horizontal="center" vertical="center"/>
    </xf>
    <xf numFmtId="0" fontId="0" fillId="0" borderId="18" xfId="0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3" fontId="9" fillId="0" borderId="19" xfId="0" applyNumberFormat="1" applyFont="1" applyBorder="1" applyAlignment="1">
      <alignment horizontal="center" vertical="center"/>
    </xf>
    <xf numFmtId="0" fontId="4" fillId="4" borderId="28" xfId="0" applyFont="1" applyFill="1" applyBorder="1" applyAlignment="1">
      <alignment horizontal="center" vertical="center"/>
    </xf>
    <xf numFmtId="0" fontId="4" fillId="4" borderId="17" xfId="0" applyFont="1" applyFill="1" applyBorder="1" applyAlignment="1">
      <alignment horizontal="center" vertical="center"/>
    </xf>
    <xf numFmtId="22" fontId="0" fillId="0" borderId="0" xfId="0" applyNumberFormat="1" applyBorder="1" applyAlignment="1">
      <alignment horizontal="center" vertical="center" wrapText="1"/>
    </xf>
    <xf numFmtId="3" fontId="0" fillId="0" borderId="7" xfId="0" applyNumberFormat="1" applyBorder="1" applyAlignment="1">
      <alignment horizontal="center" vertical="center"/>
    </xf>
    <xf numFmtId="14" fontId="0" fillId="0" borderId="7" xfId="0" applyNumberForma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eetMetadata" Target="metadata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7B7B6A0-80F4-4D93-9A0F-1F3BB0B44B24}">
  <dimension ref="A1:AB33"/>
  <sheetViews>
    <sheetView topLeftCell="H1" zoomScaleNormal="100" workbookViewId="0">
      <selection activeCell="Y15" sqref="Y15"/>
    </sheetView>
  </sheetViews>
  <sheetFormatPr defaultRowHeight="14.4" x14ac:dyDescent="0.3"/>
  <cols>
    <col min="6" max="6" width="15.44140625" bestFit="1" customWidth="1"/>
    <col min="9" max="9" width="10.44140625" bestFit="1" customWidth="1"/>
    <col min="12" max="15" width="9.5546875" customWidth="1"/>
    <col min="16" max="16" width="15.77734375" customWidth="1"/>
    <col min="17" max="18" width="9.5546875" customWidth="1"/>
    <col min="19" max="19" width="11.109375" customWidth="1"/>
    <col min="22" max="22" width="9.6640625" bestFit="1" customWidth="1"/>
    <col min="25" max="25" width="8.88671875" customWidth="1"/>
  </cols>
  <sheetData>
    <row r="1" spans="1:28" ht="31.2" x14ac:dyDescent="0.3">
      <c r="A1" s="40" t="s">
        <v>27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28" ht="15" thickBot="1" x14ac:dyDescent="0.35"/>
    <row r="3" spans="1:28" ht="29.4" thickBot="1" x14ac:dyDescent="0.35">
      <c r="A3" s="1" t="s">
        <v>0</v>
      </c>
      <c r="B3" s="2" t="s">
        <v>1</v>
      </c>
      <c r="C3" s="2" t="s">
        <v>2</v>
      </c>
      <c r="D3" s="2" t="s">
        <v>3</v>
      </c>
      <c r="E3" s="2" t="s">
        <v>4</v>
      </c>
      <c r="F3" s="5" t="s">
        <v>5</v>
      </c>
      <c r="G3" s="7" t="s">
        <v>28</v>
      </c>
      <c r="H3" s="7" t="s">
        <v>26</v>
      </c>
      <c r="I3" s="7" t="s">
        <v>29</v>
      </c>
      <c r="L3" s="48" t="s">
        <v>30</v>
      </c>
      <c r="M3" s="43"/>
      <c r="N3" s="43"/>
      <c r="O3" s="43"/>
      <c r="P3" s="44"/>
      <c r="Q3" s="10">
        <f>COUNTIFS(I4:I23, "&gt;60")</f>
        <v>16</v>
      </c>
      <c r="U3" s="48" t="s">
        <v>30</v>
      </c>
      <c r="V3" s="43"/>
      <c r="W3" s="43"/>
      <c r="X3" s="43"/>
      <c r="Y3" s="44"/>
      <c r="Z3" s="10">
        <f>COUNTIFS(C3:C23, "&gt;30")</f>
        <v>20</v>
      </c>
    </row>
    <row r="4" spans="1:28" ht="15" thickBot="1" x14ac:dyDescent="0.35">
      <c r="A4" s="3">
        <v>1001</v>
      </c>
      <c r="B4" s="4" t="s">
        <v>6</v>
      </c>
      <c r="C4" s="4">
        <v>61</v>
      </c>
      <c r="D4" s="4">
        <v>48</v>
      </c>
      <c r="E4" s="4">
        <v>76</v>
      </c>
      <c r="F4" s="6">
        <v>43101</v>
      </c>
      <c r="G4" s="8">
        <f>SUM(C4:E4)</f>
        <v>185</v>
      </c>
      <c r="H4" s="8">
        <f>'Student Grade'!J5</f>
        <v>0</v>
      </c>
      <c r="I4" s="8">
        <f>(SUM(C4:E4)/300)*100</f>
        <v>61.666666666666671</v>
      </c>
    </row>
    <row r="5" spans="1:28" ht="24" customHeight="1" thickBot="1" x14ac:dyDescent="0.35">
      <c r="A5" s="3">
        <v>1002</v>
      </c>
      <c r="B5" s="4" t="s">
        <v>7</v>
      </c>
      <c r="C5" s="4">
        <v>78</v>
      </c>
      <c r="D5" s="4">
        <v>76</v>
      </c>
      <c r="E5" s="4">
        <v>70</v>
      </c>
      <c r="F5" s="6">
        <v>43281</v>
      </c>
      <c r="G5" s="8">
        <f t="shared" ref="G5:G23" si="0">SUM(C5:E5)</f>
        <v>224</v>
      </c>
      <c r="H5" s="9" t="str">
        <f t="shared" ref="H5:H23" si="1">IF(AVERAGE(C5:E5)&gt;=80, "A", IF(AVERAGE(C5:E5)&gt;=60, "B", IF(AVERAGE(C5:E5)&gt;=45, "C", IF(AVERAGE(C5:E5)&gt;=33, "D", "F"))))</f>
        <v>B</v>
      </c>
      <c r="I5" s="8">
        <f t="shared" ref="I5:I23" si="2">(SUM(C5:E5)/300)*100</f>
        <v>74.666666666666671</v>
      </c>
      <c r="L5" s="48" t="s">
        <v>31</v>
      </c>
      <c r="M5" s="43"/>
      <c r="N5" s="43"/>
      <c r="O5" s="43"/>
      <c r="P5" s="43"/>
      <c r="Q5" s="43"/>
      <c r="R5" s="43"/>
      <c r="S5" s="44"/>
      <c r="U5" s="48" t="s">
        <v>33</v>
      </c>
      <c r="V5" s="43"/>
      <c r="W5" s="43"/>
      <c r="X5" s="43"/>
      <c r="Y5" s="43"/>
      <c r="Z5" s="24">
        <f>AVERAGEIF(I4:I23, "&gt;60")</f>
        <v>73.625000000000014</v>
      </c>
    </row>
    <row r="6" spans="1:28" ht="15" thickBot="1" x14ac:dyDescent="0.35">
      <c r="A6" s="3">
        <v>1003</v>
      </c>
      <c r="B6" s="4" t="s">
        <v>8</v>
      </c>
      <c r="C6" s="4">
        <v>97</v>
      </c>
      <c r="D6" s="4">
        <v>60</v>
      </c>
      <c r="E6" s="4">
        <v>51</v>
      </c>
      <c r="F6" s="6">
        <v>43461</v>
      </c>
      <c r="G6" s="8">
        <f t="shared" si="0"/>
        <v>208</v>
      </c>
      <c r="H6" s="9" t="str">
        <f t="shared" si="1"/>
        <v>B</v>
      </c>
      <c r="I6" s="8">
        <f t="shared" si="2"/>
        <v>69.333333333333343</v>
      </c>
    </row>
    <row r="7" spans="1:28" ht="24" thickBot="1" x14ac:dyDescent="0.35">
      <c r="A7" s="3">
        <v>1004</v>
      </c>
      <c r="B7" s="4" t="s">
        <v>9</v>
      </c>
      <c r="C7" s="4">
        <v>74</v>
      </c>
      <c r="D7" s="4">
        <v>55</v>
      </c>
      <c r="E7" s="4">
        <v>46</v>
      </c>
      <c r="F7" s="6">
        <v>43641</v>
      </c>
      <c r="G7" s="8">
        <f t="shared" si="0"/>
        <v>175</v>
      </c>
      <c r="H7" s="9" t="str">
        <f t="shared" si="1"/>
        <v>C</v>
      </c>
      <c r="I7" s="8">
        <f t="shared" si="2"/>
        <v>58.333333333333336</v>
      </c>
      <c r="L7" s="13" t="str" cm="1">
        <f t="array" ref="L7:S9">_xlfn._xlws.FILTER(B3:I23, I3:I23&gt;80)</f>
        <v>Name</v>
      </c>
      <c r="M7" s="13" t="str">
        <v>Math</v>
      </c>
      <c r="N7" s="11" t="str">
        <v>Science</v>
      </c>
      <c r="O7" s="13" t="str">
        <v>English</v>
      </c>
      <c r="P7" s="13" t="str">
        <v>Enrollment Date</v>
      </c>
      <c r="Q7" s="13" t="str">
        <v>Total</v>
      </c>
      <c r="R7" s="13" t="str">
        <v>Grade</v>
      </c>
      <c r="S7" s="11" t="str">
        <v>Percentage</v>
      </c>
      <c r="U7" s="49" t="s">
        <v>35</v>
      </c>
      <c r="V7" s="50"/>
      <c r="W7" s="50"/>
      <c r="X7" s="50"/>
      <c r="Y7" s="50"/>
      <c r="Z7" s="50"/>
      <c r="AA7" s="50"/>
      <c r="AB7" s="51"/>
    </row>
    <row r="8" spans="1:28" ht="15" thickBot="1" x14ac:dyDescent="0.35">
      <c r="A8" s="3">
        <v>1005</v>
      </c>
      <c r="B8" s="4" t="s">
        <v>10</v>
      </c>
      <c r="C8" s="4">
        <v>68</v>
      </c>
      <c r="D8" s="4">
        <v>74</v>
      </c>
      <c r="E8" s="4">
        <v>84</v>
      </c>
      <c r="F8" s="6">
        <v>43821</v>
      </c>
      <c r="G8" s="8">
        <f t="shared" si="0"/>
        <v>226</v>
      </c>
      <c r="H8" s="9" t="str">
        <f t="shared" si="1"/>
        <v>B</v>
      </c>
      <c r="I8" s="8">
        <f t="shared" si="2"/>
        <v>75.333333333333329</v>
      </c>
      <c r="L8" s="9" t="str">
        <v>Student 12</v>
      </c>
      <c r="M8" s="16">
        <v>85</v>
      </c>
      <c r="N8" s="17">
        <v>89</v>
      </c>
      <c r="O8" s="16">
        <v>79</v>
      </c>
      <c r="P8" s="18">
        <v>45081</v>
      </c>
      <c r="Q8" s="16">
        <v>253</v>
      </c>
      <c r="R8" s="16" t="str">
        <v>A</v>
      </c>
      <c r="S8" s="17">
        <v>84.333333333333343</v>
      </c>
    </row>
    <row r="9" spans="1:28" ht="29.4" thickBot="1" x14ac:dyDescent="0.35">
      <c r="A9" s="3">
        <v>1006</v>
      </c>
      <c r="B9" s="4" t="s">
        <v>11</v>
      </c>
      <c r="C9" s="4">
        <v>80</v>
      </c>
      <c r="D9" s="4">
        <v>70</v>
      </c>
      <c r="E9" s="4">
        <v>65</v>
      </c>
      <c r="F9" s="6">
        <v>44001</v>
      </c>
      <c r="G9" s="8">
        <f t="shared" si="0"/>
        <v>215</v>
      </c>
      <c r="H9" s="9" t="str">
        <f t="shared" si="1"/>
        <v>B</v>
      </c>
      <c r="I9" s="8">
        <f t="shared" si="2"/>
        <v>71.666666666666671</v>
      </c>
      <c r="L9" s="9" t="str">
        <v>Student 13</v>
      </c>
      <c r="M9" s="19">
        <v>98</v>
      </c>
      <c r="N9" s="17">
        <v>90</v>
      </c>
      <c r="O9" s="16">
        <v>97</v>
      </c>
      <c r="P9" s="18">
        <v>45261</v>
      </c>
      <c r="Q9" s="16">
        <v>285</v>
      </c>
      <c r="R9" s="16" t="str">
        <v>A</v>
      </c>
      <c r="S9" s="17">
        <v>95</v>
      </c>
      <c r="X9" s="37" t="s">
        <v>0</v>
      </c>
      <c r="Y9" s="37" t="s">
        <v>1</v>
      </c>
    </row>
    <row r="10" spans="1:28" ht="15" thickBot="1" x14ac:dyDescent="0.35">
      <c r="A10" s="3">
        <v>1007</v>
      </c>
      <c r="B10" s="4" t="s">
        <v>12</v>
      </c>
      <c r="C10" s="4">
        <v>75</v>
      </c>
      <c r="D10" s="4">
        <v>47</v>
      </c>
      <c r="E10" s="4">
        <v>78</v>
      </c>
      <c r="F10" s="6">
        <v>44181</v>
      </c>
      <c r="G10" s="8">
        <f t="shared" si="0"/>
        <v>200</v>
      </c>
      <c r="H10" s="9" t="str">
        <f t="shared" si="1"/>
        <v>B</v>
      </c>
      <c r="I10" s="8">
        <f t="shared" si="2"/>
        <v>66.666666666666657</v>
      </c>
      <c r="L10" s="14"/>
      <c r="M10" s="14"/>
      <c r="N10" s="14"/>
      <c r="O10" s="14"/>
      <c r="P10" s="14"/>
      <c r="Q10" s="14"/>
      <c r="R10" s="14"/>
      <c r="S10" s="14"/>
      <c r="X10" s="38">
        <v>1001</v>
      </c>
      <c r="Y10" s="9" t="str">
        <f>VLOOKUP(X10,$A$4:$B$23, 2, FALSE)</f>
        <v>Student 1</v>
      </c>
    </row>
    <row r="11" spans="1:28" ht="24" thickBot="1" x14ac:dyDescent="0.35">
      <c r="A11" s="3">
        <v>1008</v>
      </c>
      <c r="B11" s="4" t="s">
        <v>13</v>
      </c>
      <c r="C11" s="4">
        <v>94</v>
      </c>
      <c r="D11" s="4">
        <v>67</v>
      </c>
      <c r="E11" s="4">
        <v>64</v>
      </c>
      <c r="F11" s="6">
        <v>44361</v>
      </c>
      <c r="G11" s="8">
        <f t="shared" si="0"/>
        <v>225</v>
      </c>
      <c r="H11" s="9" t="str">
        <f t="shared" si="1"/>
        <v>B</v>
      </c>
      <c r="I11" s="8">
        <f t="shared" si="2"/>
        <v>75</v>
      </c>
      <c r="K11" s="12"/>
      <c r="L11" s="48" t="s">
        <v>34</v>
      </c>
      <c r="M11" s="50"/>
      <c r="N11" s="50"/>
      <c r="O11" s="50"/>
      <c r="P11" s="50"/>
      <c r="Q11" s="50"/>
      <c r="R11" s="50"/>
      <c r="S11" s="51"/>
      <c r="T11" s="15"/>
    </row>
    <row r="12" spans="1:28" ht="15" thickBot="1" x14ac:dyDescent="0.35">
      <c r="A12" s="3">
        <v>1009</v>
      </c>
      <c r="B12" s="4" t="s">
        <v>14</v>
      </c>
      <c r="C12" s="4">
        <v>41</v>
      </c>
      <c r="D12" s="4">
        <v>75</v>
      </c>
      <c r="E12" s="4">
        <v>56</v>
      </c>
      <c r="F12" s="6">
        <v>44541</v>
      </c>
      <c r="G12" s="8">
        <f t="shared" si="0"/>
        <v>172</v>
      </c>
      <c r="H12" s="9" t="str">
        <f t="shared" si="1"/>
        <v>C</v>
      </c>
      <c r="I12" s="8">
        <f t="shared" si="2"/>
        <v>57.333333333333336</v>
      </c>
    </row>
    <row r="13" spans="1:28" ht="29.4" thickBot="1" x14ac:dyDescent="0.35">
      <c r="A13" s="3">
        <v>1010</v>
      </c>
      <c r="B13" s="4" t="s">
        <v>15</v>
      </c>
      <c r="C13" s="4">
        <v>98</v>
      </c>
      <c r="D13" s="4">
        <v>54</v>
      </c>
      <c r="E13" s="4">
        <v>58</v>
      </c>
      <c r="F13" s="6">
        <v>44721</v>
      </c>
      <c r="G13" s="8">
        <f t="shared" si="0"/>
        <v>210</v>
      </c>
      <c r="H13" s="9" t="str">
        <f t="shared" si="1"/>
        <v>B</v>
      </c>
      <c r="I13" s="8">
        <f t="shared" si="2"/>
        <v>70</v>
      </c>
      <c r="M13" s="20" t="s">
        <v>0</v>
      </c>
      <c r="N13" s="21" t="s">
        <v>1</v>
      </c>
      <c r="O13" s="21" t="s">
        <v>2</v>
      </c>
      <c r="P13" s="22" t="s">
        <v>3</v>
      </c>
      <c r="Q13" s="54" t="s">
        <v>32</v>
      </c>
      <c r="R13" s="55"/>
    </row>
    <row r="14" spans="1:28" ht="29.4" thickBot="1" x14ac:dyDescent="0.35">
      <c r="A14" s="3">
        <v>1011</v>
      </c>
      <c r="B14" s="4" t="s">
        <v>16</v>
      </c>
      <c r="C14" s="4">
        <v>73</v>
      </c>
      <c r="D14" s="4">
        <v>79</v>
      </c>
      <c r="E14" s="4">
        <v>53</v>
      </c>
      <c r="F14" s="6">
        <v>44901</v>
      </c>
      <c r="G14" s="8">
        <f t="shared" si="0"/>
        <v>205</v>
      </c>
      <c r="H14" s="9" t="str">
        <f t="shared" si="1"/>
        <v>B</v>
      </c>
      <c r="I14" s="8">
        <f t="shared" si="2"/>
        <v>68.333333333333329</v>
      </c>
      <c r="M14" s="3">
        <v>1001</v>
      </c>
      <c r="N14" s="4" t="s">
        <v>6</v>
      </c>
      <c r="O14" s="4">
        <v>61</v>
      </c>
      <c r="P14" s="23">
        <v>48</v>
      </c>
      <c r="Q14" s="56" t="str">
        <f>IF(AND(C4&gt;80, D4&gt;80), "Above 80 T17Mark", "No Above 80 Mark")</f>
        <v>No Above 80 Mark</v>
      </c>
      <c r="R14" s="57"/>
    </row>
    <row r="15" spans="1:28" ht="29.4" thickBot="1" x14ac:dyDescent="0.35">
      <c r="A15" s="3">
        <v>1012</v>
      </c>
      <c r="B15" s="4" t="s">
        <v>17</v>
      </c>
      <c r="C15" s="4">
        <v>85</v>
      </c>
      <c r="D15" s="4">
        <v>89</v>
      </c>
      <c r="E15" s="4">
        <v>79</v>
      </c>
      <c r="F15" s="6">
        <v>45081</v>
      </c>
      <c r="G15" s="8">
        <f t="shared" si="0"/>
        <v>253</v>
      </c>
      <c r="H15" s="9" t="str">
        <f t="shared" si="1"/>
        <v>A</v>
      </c>
      <c r="I15" s="8">
        <f t="shared" si="2"/>
        <v>84.333333333333343</v>
      </c>
      <c r="M15" s="3">
        <v>1002</v>
      </c>
      <c r="N15" s="4" t="s">
        <v>7</v>
      </c>
      <c r="O15" s="4">
        <v>78</v>
      </c>
      <c r="P15" s="23">
        <v>76</v>
      </c>
      <c r="Q15" s="52" t="str">
        <f t="shared" ref="Q15:Q33" si="3">IF(AND(C5&gt;80, D5&gt;80), "Above 80 Mark", "No Above 80 Mark")</f>
        <v>No Above 80 Mark</v>
      </c>
      <c r="R15" s="53"/>
    </row>
    <row r="16" spans="1:28" ht="29.4" thickBot="1" x14ac:dyDescent="0.35">
      <c r="A16" s="3">
        <v>1013</v>
      </c>
      <c r="B16" s="4" t="s">
        <v>18</v>
      </c>
      <c r="C16" s="4">
        <v>98</v>
      </c>
      <c r="D16" s="4">
        <v>90</v>
      </c>
      <c r="E16" s="4">
        <v>97</v>
      </c>
      <c r="F16" s="6">
        <v>45261</v>
      </c>
      <c r="G16" s="8">
        <f t="shared" si="0"/>
        <v>285</v>
      </c>
      <c r="H16" s="9" t="str">
        <f t="shared" si="1"/>
        <v>A</v>
      </c>
      <c r="I16" s="8">
        <f t="shared" si="2"/>
        <v>95</v>
      </c>
      <c r="M16" s="3">
        <v>1003</v>
      </c>
      <c r="N16" s="4" t="s">
        <v>8</v>
      </c>
      <c r="O16" s="4">
        <v>97</v>
      </c>
      <c r="P16" s="23">
        <v>60</v>
      </c>
      <c r="Q16" s="52" t="str">
        <f t="shared" si="3"/>
        <v>No Above 80 Mark</v>
      </c>
      <c r="R16" s="53"/>
    </row>
    <row r="17" spans="1:18" ht="29.4" thickBot="1" x14ac:dyDescent="0.35">
      <c r="A17" s="3">
        <v>1014</v>
      </c>
      <c r="B17" s="4" t="s">
        <v>19</v>
      </c>
      <c r="C17" s="4">
        <v>93</v>
      </c>
      <c r="D17" s="4">
        <v>40</v>
      </c>
      <c r="E17" s="4">
        <v>44</v>
      </c>
      <c r="F17" s="6">
        <v>45441</v>
      </c>
      <c r="G17" s="8">
        <f t="shared" si="0"/>
        <v>177</v>
      </c>
      <c r="H17" s="9" t="str">
        <f t="shared" si="1"/>
        <v>C</v>
      </c>
      <c r="I17" s="8">
        <f t="shared" si="2"/>
        <v>59</v>
      </c>
      <c r="M17" s="3">
        <v>1004</v>
      </c>
      <c r="N17" s="4" t="s">
        <v>9</v>
      </c>
      <c r="O17" s="4">
        <v>74</v>
      </c>
      <c r="P17" s="23">
        <v>55</v>
      </c>
      <c r="Q17" s="52" t="str">
        <f t="shared" si="3"/>
        <v>No Above 80 Mark</v>
      </c>
      <c r="R17" s="53"/>
    </row>
    <row r="18" spans="1:18" ht="29.4" thickBot="1" x14ac:dyDescent="0.35">
      <c r="A18" s="3">
        <v>1015</v>
      </c>
      <c r="B18" s="4" t="s">
        <v>20</v>
      </c>
      <c r="C18" s="4">
        <v>70</v>
      </c>
      <c r="D18" s="4">
        <v>51</v>
      </c>
      <c r="E18" s="4">
        <v>75</v>
      </c>
      <c r="F18" s="6">
        <v>45621</v>
      </c>
      <c r="G18" s="8">
        <f t="shared" si="0"/>
        <v>196</v>
      </c>
      <c r="H18" s="9" t="str">
        <f t="shared" si="1"/>
        <v>B</v>
      </c>
      <c r="I18" s="8">
        <f t="shared" si="2"/>
        <v>65.333333333333329</v>
      </c>
      <c r="M18" s="3">
        <v>1005</v>
      </c>
      <c r="N18" s="4" t="s">
        <v>10</v>
      </c>
      <c r="O18" s="4">
        <v>68</v>
      </c>
      <c r="P18" s="23">
        <v>74</v>
      </c>
      <c r="Q18" s="52" t="str">
        <f t="shared" si="3"/>
        <v>No Above 80 Mark</v>
      </c>
      <c r="R18" s="53"/>
    </row>
    <row r="19" spans="1:18" ht="29.4" thickBot="1" x14ac:dyDescent="0.35">
      <c r="A19" s="3">
        <v>1016</v>
      </c>
      <c r="B19" s="4" t="s">
        <v>21</v>
      </c>
      <c r="C19" s="4">
        <v>98</v>
      </c>
      <c r="D19" s="4">
        <v>77</v>
      </c>
      <c r="E19" s="4">
        <v>60</v>
      </c>
      <c r="F19" s="6">
        <v>45801</v>
      </c>
      <c r="G19" s="8">
        <f t="shared" si="0"/>
        <v>235</v>
      </c>
      <c r="H19" s="9" t="str">
        <f t="shared" si="1"/>
        <v>B</v>
      </c>
      <c r="I19" s="8">
        <f t="shared" si="2"/>
        <v>78.333333333333329</v>
      </c>
      <c r="M19" s="3">
        <v>1006</v>
      </c>
      <c r="N19" s="4" t="s">
        <v>11</v>
      </c>
      <c r="O19" s="4">
        <v>80</v>
      </c>
      <c r="P19" s="23">
        <v>70</v>
      </c>
      <c r="Q19" s="52" t="str">
        <f t="shared" si="3"/>
        <v>No Above 80 Mark</v>
      </c>
      <c r="R19" s="53"/>
    </row>
    <row r="20" spans="1:18" ht="29.4" thickBot="1" x14ac:dyDescent="0.35">
      <c r="A20" s="3">
        <v>1017</v>
      </c>
      <c r="B20" s="4" t="s">
        <v>22</v>
      </c>
      <c r="C20" s="4">
        <v>66</v>
      </c>
      <c r="D20" s="4">
        <v>59</v>
      </c>
      <c r="E20" s="4">
        <v>40</v>
      </c>
      <c r="F20" s="6">
        <v>45981</v>
      </c>
      <c r="G20" s="8">
        <f t="shared" si="0"/>
        <v>165</v>
      </c>
      <c r="H20" s="9" t="str">
        <f t="shared" si="1"/>
        <v>C</v>
      </c>
      <c r="I20" s="8">
        <f t="shared" si="2"/>
        <v>55.000000000000007</v>
      </c>
      <c r="M20" s="3">
        <v>1007</v>
      </c>
      <c r="N20" s="4" t="s">
        <v>12</v>
      </c>
      <c r="O20" s="4">
        <v>75</v>
      </c>
      <c r="P20" s="23">
        <v>47</v>
      </c>
      <c r="Q20" s="52" t="str">
        <f t="shared" si="3"/>
        <v>No Above 80 Mark</v>
      </c>
      <c r="R20" s="53"/>
    </row>
    <row r="21" spans="1:18" ht="46.2" customHeight="1" thickBot="1" x14ac:dyDescent="0.35">
      <c r="A21" s="3">
        <v>1018</v>
      </c>
      <c r="B21" s="4" t="s">
        <v>23</v>
      </c>
      <c r="C21" s="4">
        <v>82</v>
      </c>
      <c r="D21" s="4">
        <v>48</v>
      </c>
      <c r="E21" s="4">
        <v>79</v>
      </c>
      <c r="F21" s="6">
        <v>46161</v>
      </c>
      <c r="G21" s="8">
        <f t="shared" si="0"/>
        <v>209</v>
      </c>
      <c r="H21" s="9" t="str">
        <f t="shared" si="1"/>
        <v>B</v>
      </c>
      <c r="I21" s="8">
        <f t="shared" si="2"/>
        <v>69.666666666666671</v>
      </c>
      <c r="M21" s="3">
        <v>1008</v>
      </c>
      <c r="N21" s="4" t="s">
        <v>13</v>
      </c>
      <c r="O21" s="4">
        <v>94</v>
      </c>
      <c r="P21" s="23">
        <v>67</v>
      </c>
      <c r="Q21" s="52" t="str">
        <f t="shared" si="3"/>
        <v>No Above 80 Mark</v>
      </c>
      <c r="R21" s="53"/>
    </row>
    <row r="22" spans="1:18" ht="29.4" thickBot="1" x14ac:dyDescent="0.35">
      <c r="A22" s="3">
        <v>1019</v>
      </c>
      <c r="B22" s="4" t="s">
        <v>24</v>
      </c>
      <c r="C22" s="4">
        <v>90</v>
      </c>
      <c r="D22" s="4">
        <v>78</v>
      </c>
      <c r="E22" s="4">
        <v>60</v>
      </c>
      <c r="F22" s="6">
        <v>46341</v>
      </c>
      <c r="G22" s="8">
        <f t="shared" si="0"/>
        <v>228</v>
      </c>
      <c r="H22" s="9" t="str">
        <f t="shared" si="1"/>
        <v>B</v>
      </c>
      <c r="I22" s="8">
        <f t="shared" si="2"/>
        <v>76</v>
      </c>
      <c r="M22" s="3">
        <v>1009</v>
      </c>
      <c r="N22" s="4" t="s">
        <v>14</v>
      </c>
      <c r="O22" s="4">
        <v>41</v>
      </c>
      <c r="P22" s="23">
        <v>75</v>
      </c>
      <c r="Q22" s="52" t="str">
        <f t="shared" si="3"/>
        <v>No Above 80 Mark</v>
      </c>
      <c r="R22" s="53"/>
    </row>
    <row r="23" spans="1:18" ht="29.4" thickBot="1" x14ac:dyDescent="0.35">
      <c r="A23" s="3">
        <v>1020</v>
      </c>
      <c r="B23" s="4" t="s">
        <v>25</v>
      </c>
      <c r="C23" s="4">
        <v>83</v>
      </c>
      <c r="D23" s="4">
        <v>92</v>
      </c>
      <c r="E23" s="4">
        <v>55</v>
      </c>
      <c r="F23" s="6">
        <v>46521</v>
      </c>
      <c r="G23" s="8">
        <f t="shared" si="0"/>
        <v>230</v>
      </c>
      <c r="H23" s="9" t="str">
        <f t="shared" si="1"/>
        <v>B</v>
      </c>
      <c r="I23" s="8">
        <f t="shared" si="2"/>
        <v>76.666666666666671</v>
      </c>
      <c r="M23" s="3">
        <v>1010</v>
      </c>
      <c r="N23" s="4" t="s">
        <v>15</v>
      </c>
      <c r="O23" s="4">
        <v>98</v>
      </c>
      <c r="P23" s="23">
        <v>54</v>
      </c>
      <c r="Q23" s="52" t="str">
        <f t="shared" si="3"/>
        <v>No Above 80 Mark</v>
      </c>
      <c r="R23" s="53"/>
    </row>
    <row r="24" spans="1:18" ht="29.4" thickBot="1" x14ac:dyDescent="0.35">
      <c r="M24" s="3">
        <v>1011</v>
      </c>
      <c r="N24" s="4" t="s">
        <v>16</v>
      </c>
      <c r="O24" s="4">
        <v>73</v>
      </c>
      <c r="P24" s="23">
        <v>79</v>
      </c>
      <c r="Q24" s="52" t="str">
        <f t="shared" si="3"/>
        <v>No Above 80 Mark</v>
      </c>
      <c r="R24" s="53"/>
    </row>
    <row r="25" spans="1:18" ht="29.4" thickBot="1" x14ac:dyDescent="0.35">
      <c r="M25" s="3">
        <v>1012</v>
      </c>
      <c r="N25" s="4" t="s">
        <v>17</v>
      </c>
      <c r="O25" s="4">
        <v>85</v>
      </c>
      <c r="P25" s="23">
        <v>89</v>
      </c>
      <c r="Q25" s="52" t="str">
        <f t="shared" si="3"/>
        <v>Above 80 Mark</v>
      </c>
      <c r="R25" s="53"/>
    </row>
    <row r="26" spans="1:18" ht="29.4" thickBot="1" x14ac:dyDescent="0.35">
      <c r="M26" s="3">
        <v>1013</v>
      </c>
      <c r="N26" s="4" t="s">
        <v>18</v>
      </c>
      <c r="O26" s="4">
        <v>98</v>
      </c>
      <c r="P26" s="23">
        <v>90</v>
      </c>
      <c r="Q26" s="52" t="str">
        <f t="shared" si="3"/>
        <v>Above 80 Mark</v>
      </c>
      <c r="R26" s="53"/>
    </row>
    <row r="27" spans="1:18" ht="29.4" thickBot="1" x14ac:dyDescent="0.35">
      <c r="M27" s="3">
        <v>1014</v>
      </c>
      <c r="N27" s="4" t="s">
        <v>19</v>
      </c>
      <c r="O27" s="4">
        <v>93</v>
      </c>
      <c r="P27" s="23">
        <v>40</v>
      </c>
      <c r="Q27" s="52" t="str">
        <f t="shared" si="3"/>
        <v>No Above 80 Mark</v>
      </c>
      <c r="R27" s="53"/>
    </row>
    <row r="28" spans="1:18" ht="29.4" thickBot="1" x14ac:dyDescent="0.35">
      <c r="M28" s="3">
        <v>1015</v>
      </c>
      <c r="N28" s="4" t="s">
        <v>20</v>
      </c>
      <c r="O28" s="4">
        <v>70</v>
      </c>
      <c r="P28" s="23">
        <v>51</v>
      </c>
      <c r="Q28" s="52" t="str">
        <f t="shared" si="3"/>
        <v>No Above 80 Mark</v>
      </c>
      <c r="R28" s="53"/>
    </row>
    <row r="29" spans="1:18" ht="29.4" thickBot="1" x14ac:dyDescent="0.35">
      <c r="M29" s="3">
        <v>1016</v>
      </c>
      <c r="N29" s="4" t="s">
        <v>21</v>
      </c>
      <c r="O29" s="4">
        <v>98</v>
      </c>
      <c r="P29" s="23">
        <v>77</v>
      </c>
      <c r="Q29" s="52" t="str">
        <f t="shared" si="3"/>
        <v>No Above 80 Mark</v>
      </c>
      <c r="R29" s="53"/>
    </row>
    <row r="30" spans="1:18" ht="29.4" thickBot="1" x14ac:dyDescent="0.35">
      <c r="M30" s="3">
        <v>1017</v>
      </c>
      <c r="N30" s="4" t="s">
        <v>22</v>
      </c>
      <c r="O30" s="4">
        <v>66</v>
      </c>
      <c r="P30" s="23">
        <v>59</v>
      </c>
      <c r="Q30" s="52" t="str">
        <f t="shared" si="3"/>
        <v>No Above 80 Mark</v>
      </c>
      <c r="R30" s="53"/>
    </row>
    <row r="31" spans="1:18" ht="29.4" thickBot="1" x14ac:dyDescent="0.35">
      <c r="M31" s="3">
        <v>1018</v>
      </c>
      <c r="N31" s="4" t="s">
        <v>23</v>
      </c>
      <c r="O31" s="4">
        <v>82</v>
      </c>
      <c r="P31" s="23">
        <v>48</v>
      </c>
      <c r="Q31" s="52" t="str">
        <f t="shared" si="3"/>
        <v>No Above 80 Mark</v>
      </c>
      <c r="R31" s="53"/>
    </row>
    <row r="32" spans="1:18" ht="29.4" thickBot="1" x14ac:dyDescent="0.35">
      <c r="M32" s="3">
        <v>1019</v>
      </c>
      <c r="N32" s="4" t="s">
        <v>24</v>
      </c>
      <c r="O32" s="4">
        <v>90</v>
      </c>
      <c r="P32" s="23">
        <v>78</v>
      </c>
      <c r="Q32" s="52" t="str">
        <f t="shared" si="3"/>
        <v>No Above 80 Mark</v>
      </c>
      <c r="R32" s="53"/>
    </row>
    <row r="33" spans="13:18" ht="29.4" thickBot="1" x14ac:dyDescent="0.35">
      <c r="M33" s="3">
        <v>1020</v>
      </c>
      <c r="N33" s="4" t="s">
        <v>25</v>
      </c>
      <c r="O33" s="4">
        <v>83</v>
      </c>
      <c r="P33" s="23">
        <v>92</v>
      </c>
      <c r="Q33" s="52" t="str">
        <f t="shared" si="3"/>
        <v>Above 80 Mark</v>
      </c>
      <c r="R33" s="53"/>
    </row>
  </sheetData>
  <mergeCells count="28">
    <mergeCell ref="A1:R1"/>
    <mergeCell ref="L3:P3"/>
    <mergeCell ref="L5:S5"/>
    <mergeCell ref="L11:S11"/>
    <mergeCell ref="Q18:R18"/>
    <mergeCell ref="Q19:R19"/>
    <mergeCell ref="Q20:R20"/>
    <mergeCell ref="Q21:R21"/>
    <mergeCell ref="Q13:R13"/>
    <mergeCell ref="Q14:R14"/>
    <mergeCell ref="Q15:R15"/>
    <mergeCell ref="Q16:R16"/>
    <mergeCell ref="U3:Y3"/>
    <mergeCell ref="U5:Y5"/>
    <mergeCell ref="U7:AB7"/>
    <mergeCell ref="Q32:R32"/>
    <mergeCell ref="Q33:R33"/>
    <mergeCell ref="Q27:R27"/>
    <mergeCell ref="Q28:R28"/>
    <mergeCell ref="Q29:R29"/>
    <mergeCell ref="Q30:R30"/>
    <mergeCell ref="Q31:R31"/>
    <mergeCell ref="Q22:R22"/>
    <mergeCell ref="Q23:R23"/>
    <mergeCell ref="Q24:R24"/>
    <mergeCell ref="Q25:R25"/>
    <mergeCell ref="Q26:R26"/>
    <mergeCell ref="Q17:R17"/>
  </mergeCells>
  <pageMargins left="0.7" right="0.7" top="0.75" bottom="0.75" header="0.3" footer="0.3"/>
  <ignoredErrors>
    <ignoredError sqref="H5:H24 G4:G23 I5:I23" formulaRange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788B02-C048-4AA2-BE20-6FE09F37D62B}">
  <dimension ref="A1:Y30"/>
  <sheetViews>
    <sheetView topLeftCell="A13" zoomScale="110" zoomScaleNormal="110" workbookViewId="0">
      <selection activeCell="V18" sqref="V18"/>
    </sheetView>
  </sheetViews>
  <sheetFormatPr defaultRowHeight="14.4" x14ac:dyDescent="0.3"/>
  <cols>
    <col min="6" max="6" width="15.44140625" bestFit="1" customWidth="1"/>
    <col min="7" max="7" width="15.44140625" customWidth="1"/>
    <col min="9" max="9" width="8.88671875" customWidth="1"/>
    <col min="10" max="10" width="13.6640625" customWidth="1"/>
    <col min="12" max="12" width="15.109375" customWidth="1"/>
    <col min="14" max="14" width="15.44140625" bestFit="1" customWidth="1"/>
    <col min="16" max="16" width="24.5546875" customWidth="1"/>
    <col min="18" max="18" width="16.109375" customWidth="1"/>
    <col min="19" max="19" width="15.33203125" customWidth="1"/>
  </cols>
  <sheetData>
    <row r="1" spans="1:25" ht="31.2" x14ac:dyDescent="0.3">
      <c r="A1" s="40" t="s">
        <v>36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  <c r="S1" s="41"/>
    </row>
    <row r="2" spans="1:25" ht="15" thickBot="1" x14ac:dyDescent="0.35">
      <c r="I2" s="28"/>
      <c r="J2" s="28"/>
      <c r="K2" s="28"/>
      <c r="L2" s="28"/>
      <c r="M2" s="28"/>
      <c r="N2" s="28"/>
    </row>
    <row r="3" spans="1:25" ht="29.4" thickBot="1" x14ac:dyDescent="0.35">
      <c r="A3" s="1" t="s">
        <v>37</v>
      </c>
      <c r="B3" s="2" t="s">
        <v>38</v>
      </c>
      <c r="C3" s="2" t="s">
        <v>39</v>
      </c>
      <c r="D3" s="2" t="s">
        <v>40</v>
      </c>
      <c r="E3" s="2" t="s">
        <v>41</v>
      </c>
      <c r="F3" s="2" t="s">
        <v>42</v>
      </c>
      <c r="I3" s="42" t="s">
        <v>101</v>
      </c>
      <c r="J3" s="43"/>
      <c r="K3" s="43"/>
      <c r="L3" s="43"/>
      <c r="M3" s="43"/>
      <c r="N3" s="44"/>
      <c r="R3" s="42" t="s">
        <v>107</v>
      </c>
      <c r="S3" s="46"/>
      <c r="T3" s="46"/>
      <c r="U3" s="46"/>
      <c r="V3" s="46"/>
      <c r="W3" s="46"/>
      <c r="X3" s="46"/>
      <c r="Y3" s="47"/>
    </row>
    <row r="4" spans="1:25" ht="15" thickBot="1" x14ac:dyDescent="0.35">
      <c r="A4" s="3">
        <v>2001</v>
      </c>
      <c r="B4" s="4" t="s">
        <v>43</v>
      </c>
      <c r="C4" s="4" t="s">
        <v>44</v>
      </c>
      <c r="D4" s="4" t="s">
        <v>45</v>
      </c>
      <c r="E4" s="4">
        <v>7048</v>
      </c>
      <c r="F4" s="25">
        <v>44927</v>
      </c>
      <c r="G4" s="29"/>
      <c r="I4" s="27"/>
    </row>
    <row r="5" spans="1:25" ht="15" thickBot="1" x14ac:dyDescent="0.35">
      <c r="A5" s="3">
        <v>2002</v>
      </c>
      <c r="B5" s="4" t="s">
        <v>46</v>
      </c>
      <c r="C5" s="4" t="s">
        <v>47</v>
      </c>
      <c r="D5" s="4" t="s">
        <v>48</v>
      </c>
      <c r="E5" s="4">
        <v>17428</v>
      </c>
      <c r="F5" s="25">
        <v>44942</v>
      </c>
      <c r="G5" s="29"/>
      <c r="K5" s="13" t="s">
        <v>102</v>
      </c>
      <c r="L5" s="11" t="s">
        <v>103</v>
      </c>
      <c r="R5" s="37" t="s">
        <v>39</v>
      </c>
      <c r="S5" s="36" t="s">
        <v>43</v>
      </c>
      <c r="T5" s="36" t="s">
        <v>63</v>
      </c>
      <c r="U5" s="36" t="s">
        <v>61</v>
      </c>
      <c r="V5" s="36" t="s">
        <v>108</v>
      </c>
      <c r="W5" s="36" t="s">
        <v>109</v>
      </c>
    </row>
    <row r="6" spans="1:25" ht="15" thickBot="1" x14ac:dyDescent="0.35">
      <c r="A6" s="3">
        <v>2003</v>
      </c>
      <c r="B6" s="4" t="s">
        <v>49</v>
      </c>
      <c r="C6" s="4" t="s">
        <v>44</v>
      </c>
      <c r="D6" s="4" t="s">
        <v>50</v>
      </c>
      <c r="E6" s="4">
        <v>23672</v>
      </c>
      <c r="F6" s="25">
        <v>44957</v>
      </c>
      <c r="G6" s="29"/>
      <c r="K6" s="16">
        <v>2005</v>
      </c>
      <c r="L6" s="16">
        <f>VLOOKUP(K6,A4:F23, 5, FALSE)</f>
        <v>43388</v>
      </c>
      <c r="R6" s="39" t="s">
        <v>44</v>
      </c>
      <c r="S6" s="39">
        <f>SUMIFS(E4:E23, C4:C23, "South", B4:B23, "Keyboard")</f>
        <v>42233</v>
      </c>
      <c r="T6" s="39">
        <f>SUMIFS(E4:E23, C4:C23, "South", B4:B23, "Laptop")</f>
        <v>7283</v>
      </c>
      <c r="U6" s="39">
        <f>SUMIFS(E4:E23, C4:C23, "South", B4:B23, "Monitor")</f>
        <v>0</v>
      </c>
      <c r="V6" s="39">
        <f>SUMIFS(E4:E23, C4:C23, "SOUTH", B4:B23, "MOUSE")</f>
        <v>23672</v>
      </c>
      <c r="W6" s="39">
        <f>SUMIFS(E4:E23, C4:C23, "South", B4:B23, "PRINTER")</f>
        <v>0</v>
      </c>
    </row>
    <row r="7" spans="1:25" ht="15" thickBot="1" x14ac:dyDescent="0.35">
      <c r="A7" s="3">
        <v>2004</v>
      </c>
      <c r="B7" s="4" t="s">
        <v>46</v>
      </c>
      <c r="C7" s="4" t="s">
        <v>51</v>
      </c>
      <c r="D7" s="4" t="s">
        <v>52</v>
      </c>
      <c r="E7" s="4">
        <v>5264</v>
      </c>
      <c r="F7" s="25">
        <v>44972</v>
      </c>
      <c r="G7" s="29"/>
      <c r="K7" s="26"/>
      <c r="L7" s="26"/>
      <c r="R7" s="39" t="s">
        <v>51</v>
      </c>
      <c r="S7" s="39">
        <f>SUMIFS(E4:E23, C4:C23, "East", B4:B23, "Keyboard")</f>
        <v>80349</v>
      </c>
      <c r="T7" s="39">
        <f>SUMIFS(E5:E24, C5:C24, "East", B5:B24, "Laptop")</f>
        <v>31238</v>
      </c>
      <c r="U7" s="39">
        <f>SUMIFS(E5:E24, C5:C24, "East", B5:B24, "Monitor")</f>
        <v>0</v>
      </c>
      <c r="V7" s="39">
        <f>SUMIFS(E5:E24, C5:C24, "EAST", B5:B24, "MOUSE")</f>
        <v>37335</v>
      </c>
      <c r="W7" s="39">
        <f>SUMIFS(E4:E23, C4:C23, "EAST", B4:B23, "PRINTER")</f>
        <v>25010</v>
      </c>
    </row>
    <row r="8" spans="1:25" ht="26.4" thickBot="1" x14ac:dyDescent="0.35">
      <c r="A8" s="3">
        <v>2005</v>
      </c>
      <c r="B8" s="4" t="s">
        <v>43</v>
      </c>
      <c r="C8" s="4" t="s">
        <v>53</v>
      </c>
      <c r="D8" s="4" t="s">
        <v>54</v>
      </c>
      <c r="E8" s="4">
        <v>43388</v>
      </c>
      <c r="F8" s="25">
        <v>44987</v>
      </c>
      <c r="G8" s="29"/>
      <c r="I8" s="45" t="s">
        <v>106</v>
      </c>
      <c r="J8" s="46"/>
      <c r="K8" s="46"/>
      <c r="L8" s="46"/>
      <c r="M8" s="46"/>
      <c r="N8" s="46"/>
      <c r="O8" s="46"/>
      <c r="P8" s="47"/>
      <c r="R8" s="39" t="s">
        <v>53</v>
      </c>
      <c r="S8" s="39">
        <f>SUMIFS(E5:E24, C5:C24, "North", B5:B24, "Keyboard")</f>
        <v>43388</v>
      </c>
      <c r="T8" s="39">
        <f>SUMIFS(E6:E25, C6:C25, "North", B6:B25, "Laptop")</f>
        <v>0</v>
      </c>
      <c r="U8" s="39">
        <f>SUMIFS(E6:E25, C6:C25, "North", B6:B25, "Monitor")</f>
        <v>77482</v>
      </c>
      <c r="V8" s="39">
        <f>SUMIFS(E6:E25, C6:C25, "NORTH", B6:B25, "MOUSE")</f>
        <v>19757</v>
      </c>
      <c r="W8" s="39">
        <f>SUMIFS(E4:E23, C4:C23, "North", B4:B23, "PRINTER")</f>
        <v>0</v>
      </c>
    </row>
    <row r="9" spans="1:25" ht="15" thickBot="1" x14ac:dyDescent="0.35">
      <c r="A9" s="3">
        <v>2006</v>
      </c>
      <c r="B9" s="4" t="s">
        <v>49</v>
      </c>
      <c r="C9" s="4" t="s">
        <v>53</v>
      </c>
      <c r="D9" s="4" t="s">
        <v>55</v>
      </c>
      <c r="E9" s="4">
        <v>19757</v>
      </c>
      <c r="F9" s="25">
        <v>45002</v>
      </c>
      <c r="G9" s="29"/>
      <c r="R9" s="39" t="s">
        <v>47</v>
      </c>
      <c r="S9" s="39">
        <f>SUMIFS(E4:E23, C4:C23, "West", B4:B23, "Keyboard")</f>
        <v>0</v>
      </c>
      <c r="T9" s="39">
        <f>SUMIFS(E7:E26, C7:C26, "West", B7:B26, "Laptop")</f>
        <v>0</v>
      </c>
      <c r="U9" s="39">
        <f>SUMIFS(E7:E26, C7:C26, "West", B7:B26, "Monitor")</f>
        <v>38161</v>
      </c>
      <c r="V9" s="39">
        <f>SUMIFS(E7:E26, C7:C26, "WEST", B7:B26, "MOUSE")</f>
        <v>30436</v>
      </c>
      <c r="W9" s="39">
        <f>SUMIFS(E4:E23, C4:C23, "WEST", B4:B23, "PRINTER")</f>
        <v>51381</v>
      </c>
    </row>
    <row r="10" spans="1:25" ht="15" thickBot="1" x14ac:dyDescent="0.35">
      <c r="A10" s="3">
        <v>2007</v>
      </c>
      <c r="B10" s="4" t="s">
        <v>49</v>
      </c>
      <c r="C10" s="4" t="s">
        <v>51</v>
      </c>
      <c r="D10" s="4" t="s">
        <v>56</v>
      </c>
      <c r="E10" s="4">
        <v>32058</v>
      </c>
      <c r="F10" s="25">
        <v>45017</v>
      </c>
      <c r="G10" s="29"/>
      <c r="I10" s="20" t="s">
        <v>37</v>
      </c>
      <c r="J10" s="21" t="s">
        <v>38</v>
      </c>
      <c r="K10" s="21" t="s">
        <v>39</v>
      </c>
      <c r="L10" s="21" t="s">
        <v>40</v>
      </c>
      <c r="M10" s="22" t="s">
        <v>41</v>
      </c>
      <c r="N10" s="30" t="s">
        <v>42</v>
      </c>
      <c r="O10" s="11" t="s">
        <v>104</v>
      </c>
      <c r="P10" s="36" t="s">
        <v>105</v>
      </c>
    </row>
    <row r="11" spans="1:25" ht="15" thickBot="1" x14ac:dyDescent="0.35">
      <c r="A11" s="3">
        <v>2008</v>
      </c>
      <c r="B11" s="4" t="s">
        <v>43</v>
      </c>
      <c r="C11" s="4" t="s">
        <v>51</v>
      </c>
      <c r="D11" s="4" t="s">
        <v>57</v>
      </c>
      <c r="E11" s="4">
        <v>46429</v>
      </c>
      <c r="F11" s="25">
        <v>45032</v>
      </c>
      <c r="G11" s="29"/>
      <c r="I11" s="3">
        <v>2001</v>
      </c>
      <c r="J11" s="4" t="s">
        <v>43</v>
      </c>
      <c r="K11" s="4" t="s">
        <v>44</v>
      </c>
      <c r="L11" s="4" t="s">
        <v>45</v>
      </c>
      <c r="M11" s="23">
        <v>7048</v>
      </c>
      <c r="N11" s="31">
        <v>44927</v>
      </c>
      <c r="O11" s="17">
        <f t="shared" ref="O11:O30" si="0">IF(E4&gt;30000, E4*0.1, IF(E4&gt;15000, E4*0.05, 0))</f>
        <v>0</v>
      </c>
      <c r="P11" s="9" t="str">
        <f t="shared" ref="P11:P30" si="1">IF(AND(OR(J11="Keyboard", J11="Mouse", J11="Laptop"), M11&gt;10000),"Discount Eligible","No Discount")</f>
        <v>No Discount</v>
      </c>
    </row>
    <row r="12" spans="1:25" ht="26.4" thickBot="1" x14ac:dyDescent="0.35">
      <c r="A12" s="3">
        <v>2009</v>
      </c>
      <c r="B12" s="4" t="s">
        <v>46</v>
      </c>
      <c r="C12" s="4" t="s">
        <v>51</v>
      </c>
      <c r="D12" s="4" t="s">
        <v>58</v>
      </c>
      <c r="E12" s="4">
        <v>19746</v>
      </c>
      <c r="F12" s="25">
        <v>45047</v>
      </c>
      <c r="G12" s="29"/>
      <c r="I12" s="3">
        <v>2002</v>
      </c>
      <c r="J12" s="4" t="s">
        <v>46</v>
      </c>
      <c r="K12" s="4" t="s">
        <v>47</v>
      </c>
      <c r="L12" s="4" t="s">
        <v>48</v>
      </c>
      <c r="M12" s="4">
        <v>17428</v>
      </c>
      <c r="N12" s="32">
        <v>44942</v>
      </c>
      <c r="O12" s="9">
        <f t="shared" si="0"/>
        <v>871.40000000000009</v>
      </c>
      <c r="P12" s="9" t="str">
        <f t="shared" si="1"/>
        <v>No Discount</v>
      </c>
      <c r="R12" s="42" t="s">
        <v>110</v>
      </c>
      <c r="S12" s="46"/>
      <c r="T12" s="46"/>
      <c r="U12" s="46"/>
      <c r="V12" s="46"/>
      <c r="W12" s="46"/>
      <c r="X12" s="46"/>
      <c r="Y12" s="47"/>
    </row>
    <row r="13" spans="1:25" ht="29.4" thickBot="1" x14ac:dyDescent="0.35">
      <c r="A13" s="3">
        <v>2010</v>
      </c>
      <c r="B13" s="4" t="s">
        <v>43</v>
      </c>
      <c r="C13" s="4" t="s">
        <v>44</v>
      </c>
      <c r="D13" s="4" t="s">
        <v>59</v>
      </c>
      <c r="E13" s="4">
        <v>35185</v>
      </c>
      <c r="F13" s="25">
        <v>45062</v>
      </c>
      <c r="G13" s="29"/>
      <c r="I13" s="3">
        <v>2003</v>
      </c>
      <c r="J13" s="4" t="s">
        <v>49</v>
      </c>
      <c r="K13" s="4" t="s">
        <v>44</v>
      </c>
      <c r="L13" s="4" t="s">
        <v>50</v>
      </c>
      <c r="M13" s="4">
        <v>23672</v>
      </c>
      <c r="N13" s="6">
        <v>44957</v>
      </c>
      <c r="O13" s="16">
        <f t="shared" si="0"/>
        <v>1183.6000000000001</v>
      </c>
      <c r="P13" s="9" t="str">
        <f t="shared" si="1"/>
        <v>Discount Eligible</v>
      </c>
      <c r="Q13" s="58"/>
      <c r="S13" s="36" t="s">
        <v>111</v>
      </c>
      <c r="T13" s="9" t="s">
        <v>45</v>
      </c>
    </row>
    <row r="14" spans="1:25" ht="29.4" thickBot="1" x14ac:dyDescent="0.35">
      <c r="A14" s="3">
        <v>2011</v>
      </c>
      <c r="B14" s="4" t="s">
        <v>43</v>
      </c>
      <c r="C14" s="4" t="s">
        <v>51</v>
      </c>
      <c r="D14" s="4" t="s">
        <v>60</v>
      </c>
      <c r="E14" s="4">
        <v>33920</v>
      </c>
      <c r="F14" s="25">
        <v>45077</v>
      </c>
      <c r="G14" s="29"/>
      <c r="I14" s="3">
        <v>2004</v>
      </c>
      <c r="J14" s="4" t="s">
        <v>46</v>
      </c>
      <c r="K14" s="4" t="s">
        <v>51</v>
      </c>
      <c r="L14" s="4" t="s">
        <v>52</v>
      </c>
      <c r="M14" s="4">
        <v>5264</v>
      </c>
      <c r="N14" s="6">
        <v>44972</v>
      </c>
      <c r="O14" s="9">
        <f t="shared" si="0"/>
        <v>0</v>
      </c>
      <c r="P14" s="9" t="str">
        <f t="shared" si="1"/>
        <v>No Discount</v>
      </c>
      <c r="Q14" s="58"/>
      <c r="S14" s="60" t="s">
        <v>112</v>
      </c>
      <c r="T14" s="9">
        <v>1</v>
      </c>
    </row>
    <row r="15" spans="1:25" ht="29.4" thickBot="1" x14ac:dyDescent="0.35">
      <c r="A15" s="3">
        <v>2012</v>
      </c>
      <c r="B15" s="4" t="s">
        <v>61</v>
      </c>
      <c r="C15" s="4" t="s">
        <v>53</v>
      </c>
      <c r="D15" s="4" t="s">
        <v>62</v>
      </c>
      <c r="E15" s="4">
        <v>35611</v>
      </c>
      <c r="F15" s="25">
        <v>45092</v>
      </c>
      <c r="G15" s="29"/>
      <c r="I15" s="3">
        <v>2005</v>
      </c>
      <c r="J15" s="4" t="s">
        <v>43</v>
      </c>
      <c r="K15" s="4" t="s">
        <v>53</v>
      </c>
      <c r="L15" s="4" t="s">
        <v>54</v>
      </c>
      <c r="M15" s="4">
        <v>43388</v>
      </c>
      <c r="N15" s="6">
        <v>44987</v>
      </c>
      <c r="O15" s="9">
        <f t="shared" si="0"/>
        <v>4338.8</v>
      </c>
      <c r="P15" s="9" t="str">
        <f t="shared" si="1"/>
        <v>Discount Eligible</v>
      </c>
      <c r="Q15" s="58"/>
      <c r="S15" s="36" t="s">
        <v>113</v>
      </c>
      <c r="T15" s="59" cm="1">
        <f t="array" ref="T15">INDEX($E$4:$E$23,MATCH(1,($D$4:$D$23=T13)*(MONTH($F$4:$F$23)=T14),0))</f>
        <v>7048</v>
      </c>
    </row>
    <row r="16" spans="1:25" ht="29.4" thickBot="1" x14ac:dyDescent="0.35">
      <c r="A16" s="3">
        <v>2013</v>
      </c>
      <c r="B16" s="4" t="s">
        <v>63</v>
      </c>
      <c r="C16" s="4" t="s">
        <v>51</v>
      </c>
      <c r="D16" s="4" t="s">
        <v>64</v>
      </c>
      <c r="E16" s="4">
        <v>15560</v>
      </c>
      <c r="F16" s="25">
        <v>45107</v>
      </c>
      <c r="G16" s="29"/>
      <c r="I16" s="3">
        <v>2006</v>
      </c>
      <c r="J16" s="4" t="s">
        <v>49</v>
      </c>
      <c r="K16" s="4" t="s">
        <v>53</v>
      </c>
      <c r="L16" s="4" t="s">
        <v>55</v>
      </c>
      <c r="M16" s="4">
        <v>19757</v>
      </c>
      <c r="N16" s="33">
        <v>45002</v>
      </c>
      <c r="O16" s="35">
        <f t="shared" si="0"/>
        <v>987.85</v>
      </c>
      <c r="P16" s="9" t="str">
        <f t="shared" si="1"/>
        <v>Discount Eligible</v>
      </c>
      <c r="S16" s="14"/>
    </row>
    <row r="17" spans="1:16" ht="29.4" thickBot="1" x14ac:dyDescent="0.35">
      <c r="A17" s="3">
        <v>2014</v>
      </c>
      <c r="B17" s="4" t="s">
        <v>63</v>
      </c>
      <c r="C17" s="4" t="s">
        <v>44</v>
      </c>
      <c r="D17" s="4" t="s">
        <v>65</v>
      </c>
      <c r="E17" s="4">
        <v>7283</v>
      </c>
      <c r="F17" s="25">
        <v>45122</v>
      </c>
      <c r="G17" s="29"/>
      <c r="I17" s="3">
        <v>2007</v>
      </c>
      <c r="J17" s="4" t="s">
        <v>49</v>
      </c>
      <c r="K17" s="4" t="s">
        <v>51</v>
      </c>
      <c r="L17" s="4" t="s">
        <v>56</v>
      </c>
      <c r="M17" s="23">
        <v>32058</v>
      </c>
      <c r="N17" s="34">
        <v>45017</v>
      </c>
      <c r="O17" s="19">
        <f t="shared" si="0"/>
        <v>3205.8</v>
      </c>
      <c r="P17" s="9" t="str">
        <f t="shared" si="1"/>
        <v>Discount Eligible</v>
      </c>
    </row>
    <row r="18" spans="1:16" ht="29.4" thickBot="1" x14ac:dyDescent="0.35">
      <c r="A18" s="3">
        <v>2015</v>
      </c>
      <c r="B18" s="4" t="s">
        <v>63</v>
      </c>
      <c r="C18" s="4" t="s">
        <v>51</v>
      </c>
      <c r="D18" s="4" t="s">
        <v>66</v>
      </c>
      <c r="E18" s="4">
        <v>15678</v>
      </c>
      <c r="F18" s="25">
        <v>45137</v>
      </c>
      <c r="G18" s="29"/>
      <c r="I18" s="3">
        <v>2008</v>
      </c>
      <c r="J18" s="4" t="s">
        <v>43</v>
      </c>
      <c r="K18" s="4" t="s">
        <v>51</v>
      </c>
      <c r="L18" s="4" t="s">
        <v>57</v>
      </c>
      <c r="M18" s="4">
        <v>46429</v>
      </c>
      <c r="N18" s="32">
        <v>45032</v>
      </c>
      <c r="O18" s="9">
        <f t="shared" si="0"/>
        <v>4642.9000000000005</v>
      </c>
      <c r="P18" s="9" t="str">
        <f t="shared" si="1"/>
        <v>Discount Eligible</v>
      </c>
    </row>
    <row r="19" spans="1:16" ht="29.4" thickBot="1" x14ac:dyDescent="0.35">
      <c r="A19" s="3">
        <v>2016</v>
      </c>
      <c r="B19" s="4" t="s">
        <v>49</v>
      </c>
      <c r="C19" s="4" t="s">
        <v>51</v>
      </c>
      <c r="D19" s="4" t="s">
        <v>67</v>
      </c>
      <c r="E19" s="4">
        <v>5277</v>
      </c>
      <c r="F19" s="25">
        <v>45152</v>
      </c>
      <c r="G19" s="29"/>
      <c r="I19" s="3">
        <v>2009</v>
      </c>
      <c r="J19" s="4" t="s">
        <v>46</v>
      </c>
      <c r="K19" s="4" t="s">
        <v>51</v>
      </c>
      <c r="L19" s="4" t="s">
        <v>58</v>
      </c>
      <c r="M19" s="4">
        <v>19746</v>
      </c>
      <c r="N19" s="6">
        <v>45047</v>
      </c>
      <c r="O19" s="9">
        <f t="shared" si="0"/>
        <v>987.30000000000007</v>
      </c>
      <c r="P19" s="9" t="str">
        <f t="shared" si="1"/>
        <v>No Discount</v>
      </c>
    </row>
    <row r="20" spans="1:16" ht="29.4" thickBot="1" x14ac:dyDescent="0.35">
      <c r="A20" s="3">
        <v>2017</v>
      </c>
      <c r="B20" s="4" t="s">
        <v>61</v>
      </c>
      <c r="C20" s="4" t="s">
        <v>53</v>
      </c>
      <c r="D20" s="4" t="s">
        <v>68</v>
      </c>
      <c r="E20" s="4">
        <v>41871</v>
      </c>
      <c r="F20" s="25">
        <v>45167</v>
      </c>
      <c r="G20" s="29"/>
      <c r="I20" s="3">
        <v>2010</v>
      </c>
      <c r="J20" s="4" t="s">
        <v>43</v>
      </c>
      <c r="K20" s="4" t="s">
        <v>44</v>
      </c>
      <c r="L20" s="4" t="s">
        <v>59</v>
      </c>
      <c r="M20" s="4">
        <v>35185</v>
      </c>
      <c r="N20" s="6">
        <v>45062</v>
      </c>
      <c r="O20" s="9">
        <f t="shared" si="0"/>
        <v>3518.5</v>
      </c>
      <c r="P20" s="9" t="str">
        <f t="shared" si="1"/>
        <v>Discount Eligible</v>
      </c>
    </row>
    <row r="21" spans="1:16" ht="29.4" thickBot="1" x14ac:dyDescent="0.35">
      <c r="A21" s="3">
        <v>2018</v>
      </c>
      <c r="B21" s="4" t="s">
        <v>61</v>
      </c>
      <c r="C21" s="4" t="s">
        <v>47</v>
      </c>
      <c r="D21" s="4" t="s">
        <v>69</v>
      </c>
      <c r="E21" s="4">
        <v>38161</v>
      </c>
      <c r="F21" s="25">
        <v>45182</v>
      </c>
      <c r="G21" s="29"/>
      <c r="I21" s="3">
        <v>2011</v>
      </c>
      <c r="J21" s="4" t="s">
        <v>43</v>
      </c>
      <c r="K21" s="4" t="s">
        <v>51</v>
      </c>
      <c r="L21" s="4" t="s">
        <v>60</v>
      </c>
      <c r="M21" s="4">
        <v>33920</v>
      </c>
      <c r="N21" s="6">
        <v>45077</v>
      </c>
      <c r="O21" s="9">
        <f t="shared" si="0"/>
        <v>3392</v>
      </c>
      <c r="P21" s="9" t="str">
        <f t="shared" si="1"/>
        <v>Discount Eligible</v>
      </c>
    </row>
    <row r="22" spans="1:16" ht="29.4" thickBot="1" x14ac:dyDescent="0.35">
      <c r="A22" s="3">
        <v>2019</v>
      </c>
      <c r="B22" s="4" t="s">
        <v>49</v>
      </c>
      <c r="C22" s="4" t="s">
        <v>47</v>
      </c>
      <c r="D22" s="4" t="s">
        <v>70</v>
      </c>
      <c r="E22" s="4">
        <v>30436</v>
      </c>
      <c r="F22" s="25">
        <v>45197</v>
      </c>
      <c r="G22" s="29"/>
      <c r="I22" s="3">
        <v>2012</v>
      </c>
      <c r="J22" s="4" t="s">
        <v>61</v>
      </c>
      <c r="K22" s="4" t="s">
        <v>53</v>
      </c>
      <c r="L22" s="4" t="s">
        <v>62</v>
      </c>
      <c r="M22" s="4">
        <v>35611</v>
      </c>
      <c r="N22" s="6">
        <v>45092</v>
      </c>
      <c r="O22" s="9">
        <f t="shared" si="0"/>
        <v>3561.1000000000004</v>
      </c>
      <c r="P22" s="9" t="str">
        <f t="shared" si="1"/>
        <v>No Discount</v>
      </c>
    </row>
    <row r="23" spans="1:16" ht="29.4" thickBot="1" x14ac:dyDescent="0.35">
      <c r="A23" s="3">
        <v>2020</v>
      </c>
      <c r="B23" s="4" t="s">
        <v>46</v>
      </c>
      <c r="C23" s="4" t="s">
        <v>47</v>
      </c>
      <c r="D23" s="4" t="s">
        <v>71</v>
      </c>
      <c r="E23" s="4">
        <v>33953</v>
      </c>
      <c r="F23" s="25">
        <v>45212</v>
      </c>
      <c r="G23" s="29"/>
      <c r="I23" s="3">
        <v>2013</v>
      </c>
      <c r="J23" s="4" t="s">
        <v>63</v>
      </c>
      <c r="K23" s="4" t="s">
        <v>51</v>
      </c>
      <c r="L23" s="4" t="s">
        <v>64</v>
      </c>
      <c r="M23" s="4">
        <v>15560</v>
      </c>
      <c r="N23" s="6">
        <v>45107</v>
      </c>
      <c r="O23" s="9">
        <f t="shared" si="0"/>
        <v>778</v>
      </c>
      <c r="P23" s="9" t="str">
        <f t="shared" si="1"/>
        <v>Discount Eligible</v>
      </c>
    </row>
    <row r="24" spans="1:16" ht="15" thickBot="1" x14ac:dyDescent="0.35">
      <c r="I24" s="3">
        <v>2014</v>
      </c>
      <c r="J24" s="4" t="s">
        <v>63</v>
      </c>
      <c r="K24" s="4" t="s">
        <v>44</v>
      </c>
      <c r="L24" s="4" t="s">
        <v>65</v>
      </c>
      <c r="M24" s="4">
        <v>7283</v>
      </c>
      <c r="N24" s="6">
        <v>45122</v>
      </c>
      <c r="O24" s="9">
        <f t="shared" si="0"/>
        <v>0</v>
      </c>
      <c r="P24" s="9" t="str">
        <f t="shared" si="1"/>
        <v>No Discount</v>
      </c>
    </row>
    <row r="25" spans="1:16" ht="15" thickBot="1" x14ac:dyDescent="0.35">
      <c r="I25" s="3">
        <v>2015</v>
      </c>
      <c r="J25" s="4" t="s">
        <v>63</v>
      </c>
      <c r="K25" s="4" t="s">
        <v>51</v>
      </c>
      <c r="L25" s="4" t="s">
        <v>66</v>
      </c>
      <c r="M25" s="4">
        <v>15678</v>
      </c>
      <c r="N25" s="6">
        <v>45137</v>
      </c>
      <c r="O25" s="9">
        <f t="shared" si="0"/>
        <v>783.90000000000009</v>
      </c>
      <c r="P25" s="19" t="str">
        <f t="shared" si="1"/>
        <v>Discount Eligible</v>
      </c>
    </row>
    <row r="26" spans="1:16" ht="15" thickBot="1" x14ac:dyDescent="0.35">
      <c r="I26" s="3">
        <v>2016</v>
      </c>
      <c r="J26" s="4" t="s">
        <v>49</v>
      </c>
      <c r="K26" s="4" t="s">
        <v>51</v>
      </c>
      <c r="L26" s="4" t="s">
        <v>67</v>
      </c>
      <c r="M26" s="4">
        <v>5277</v>
      </c>
      <c r="N26" s="6">
        <v>45152</v>
      </c>
      <c r="O26" s="16">
        <f t="shared" si="0"/>
        <v>0</v>
      </c>
      <c r="P26" s="9" t="str">
        <f t="shared" si="1"/>
        <v>No Discount</v>
      </c>
    </row>
    <row r="27" spans="1:16" ht="15" thickBot="1" x14ac:dyDescent="0.35">
      <c r="I27" s="3">
        <v>2017</v>
      </c>
      <c r="J27" s="4" t="s">
        <v>61</v>
      </c>
      <c r="K27" s="4" t="s">
        <v>53</v>
      </c>
      <c r="L27" s="4" t="s">
        <v>68</v>
      </c>
      <c r="M27" s="4">
        <v>41871</v>
      </c>
      <c r="N27" s="6">
        <v>45167</v>
      </c>
      <c r="O27" s="9">
        <f t="shared" si="0"/>
        <v>4187.1000000000004</v>
      </c>
      <c r="P27" s="9" t="str">
        <f t="shared" si="1"/>
        <v>No Discount</v>
      </c>
    </row>
    <row r="28" spans="1:16" ht="15" thickBot="1" x14ac:dyDescent="0.35">
      <c r="I28" s="3">
        <v>2018</v>
      </c>
      <c r="J28" s="4" t="s">
        <v>61</v>
      </c>
      <c r="K28" s="4" t="s">
        <v>47</v>
      </c>
      <c r="L28" s="4" t="s">
        <v>69</v>
      </c>
      <c r="M28" s="4">
        <v>38161</v>
      </c>
      <c r="N28" s="6">
        <v>45182</v>
      </c>
      <c r="O28" s="9">
        <f t="shared" si="0"/>
        <v>3816.1000000000004</v>
      </c>
      <c r="P28" s="9" t="str">
        <f t="shared" si="1"/>
        <v>No Discount</v>
      </c>
    </row>
    <row r="29" spans="1:16" ht="15" thickBot="1" x14ac:dyDescent="0.35">
      <c r="I29" s="3">
        <v>2019</v>
      </c>
      <c r="J29" s="4" t="s">
        <v>49</v>
      </c>
      <c r="K29" s="4" t="s">
        <v>47</v>
      </c>
      <c r="L29" s="4" t="s">
        <v>70</v>
      </c>
      <c r="M29" s="4">
        <v>30436</v>
      </c>
      <c r="N29" s="6">
        <v>45197</v>
      </c>
      <c r="O29" s="9">
        <f t="shared" si="0"/>
        <v>3043.6000000000004</v>
      </c>
      <c r="P29" s="9" t="str">
        <f t="shared" si="1"/>
        <v>Discount Eligible</v>
      </c>
    </row>
    <row r="30" spans="1:16" ht="15" thickBot="1" x14ac:dyDescent="0.35">
      <c r="I30" s="3">
        <v>2020</v>
      </c>
      <c r="J30" s="4" t="s">
        <v>46</v>
      </c>
      <c r="K30" s="4" t="s">
        <v>47</v>
      </c>
      <c r="L30" s="4" t="s">
        <v>71</v>
      </c>
      <c r="M30" s="4">
        <v>33953</v>
      </c>
      <c r="N30" s="6">
        <v>45212</v>
      </c>
      <c r="O30" s="16">
        <f t="shared" si="0"/>
        <v>3395.3</v>
      </c>
      <c r="P30" s="9" t="str">
        <f t="shared" si="1"/>
        <v>No Discount</v>
      </c>
    </row>
  </sheetData>
  <mergeCells count="5">
    <mergeCell ref="A1:S1"/>
    <mergeCell ref="I3:N3"/>
    <mergeCell ref="I8:P8"/>
    <mergeCell ref="R3:Y3"/>
    <mergeCell ref="R12:Y1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00EFA2-E3AB-4118-85FD-4A5132DB166A}">
  <dimension ref="A1:R23"/>
  <sheetViews>
    <sheetView tabSelected="1" workbookViewId="0">
      <selection activeCell="O10" sqref="O10"/>
    </sheetView>
  </sheetViews>
  <sheetFormatPr defaultRowHeight="14.4" x14ac:dyDescent="0.3"/>
  <cols>
    <col min="5" max="5" width="15.44140625" bestFit="1" customWidth="1"/>
    <col min="7" max="7" width="14.77734375" customWidth="1"/>
    <col min="8" max="8" width="11.88671875" customWidth="1"/>
    <col min="9" max="9" width="13.5546875" bestFit="1" customWidth="1"/>
    <col min="10" max="10" width="13.5546875" customWidth="1"/>
    <col min="11" max="11" width="13.6640625" customWidth="1"/>
  </cols>
  <sheetData>
    <row r="1" spans="1:18" ht="31.2" x14ac:dyDescent="0.3">
      <c r="A1" s="40" t="s">
        <v>72</v>
      </c>
      <c r="B1" s="41"/>
      <c r="C1" s="41"/>
      <c r="D1" s="41"/>
      <c r="E1" s="41"/>
      <c r="F1" s="41"/>
      <c r="G1" s="41"/>
      <c r="H1" s="41"/>
      <c r="I1" s="41"/>
      <c r="J1" s="41"/>
      <c r="K1" s="41"/>
      <c r="L1" s="41"/>
      <c r="M1" s="41"/>
      <c r="N1" s="41"/>
      <c r="O1" s="41"/>
      <c r="P1" s="41"/>
      <c r="Q1" s="41"/>
      <c r="R1" s="41"/>
    </row>
    <row r="2" spans="1:18" ht="15" thickBot="1" x14ac:dyDescent="0.35"/>
    <row r="3" spans="1:18" ht="29.4" thickBot="1" x14ac:dyDescent="0.35">
      <c r="A3" s="1" t="s">
        <v>73</v>
      </c>
      <c r="B3" s="2" t="s">
        <v>1</v>
      </c>
      <c r="C3" s="2" t="s">
        <v>74</v>
      </c>
      <c r="D3" s="2" t="s">
        <v>75</v>
      </c>
      <c r="E3" s="2" t="s">
        <v>76</v>
      </c>
      <c r="G3" s="42" t="s">
        <v>114</v>
      </c>
      <c r="H3" s="43"/>
      <c r="I3" s="43"/>
      <c r="J3" s="43"/>
      <c r="K3" s="43"/>
      <c r="L3" s="44"/>
    </row>
    <row r="4" spans="1:18" ht="29.4" thickBot="1" x14ac:dyDescent="0.35">
      <c r="A4" s="3">
        <v>3001</v>
      </c>
      <c r="B4" s="4" t="s">
        <v>77</v>
      </c>
      <c r="C4" s="4" t="s">
        <v>78</v>
      </c>
      <c r="D4" s="4">
        <v>86766</v>
      </c>
      <c r="E4" s="25">
        <v>42005</v>
      </c>
      <c r="F4" s="62"/>
      <c r="G4" s="62"/>
      <c r="I4" s="36" t="s">
        <v>73</v>
      </c>
      <c r="J4" s="9">
        <v>3001</v>
      </c>
    </row>
    <row r="5" spans="1:18" ht="29.4" thickBot="1" x14ac:dyDescent="0.35">
      <c r="A5" s="3">
        <v>3002</v>
      </c>
      <c r="B5" s="4" t="s">
        <v>79</v>
      </c>
      <c r="C5" s="4" t="s">
        <v>78</v>
      </c>
      <c r="D5" s="4">
        <v>31943</v>
      </c>
      <c r="E5" s="25">
        <v>42255</v>
      </c>
      <c r="F5" s="62"/>
      <c r="G5" s="62"/>
      <c r="I5" s="61" t="s">
        <v>115</v>
      </c>
      <c r="J5" s="39">
        <f>_xlfn.XLOOKUP(J4,A4:A23,D4:D23)</f>
        <v>86766</v>
      </c>
    </row>
    <row r="6" spans="1:18" ht="29.4" thickBot="1" x14ac:dyDescent="0.35">
      <c r="A6" s="3">
        <v>3003</v>
      </c>
      <c r="B6" s="4" t="s">
        <v>80</v>
      </c>
      <c r="C6" s="4" t="s">
        <v>81</v>
      </c>
      <c r="D6" s="4">
        <v>63374</v>
      </c>
      <c r="E6" s="25">
        <v>42505</v>
      </c>
    </row>
    <row r="7" spans="1:18" ht="29.4" thickBot="1" x14ac:dyDescent="0.35">
      <c r="A7" s="3">
        <v>3004</v>
      </c>
      <c r="B7" s="4" t="s">
        <v>82</v>
      </c>
      <c r="C7" s="4" t="s">
        <v>78</v>
      </c>
      <c r="D7" s="4">
        <v>109972</v>
      </c>
      <c r="E7" s="25">
        <v>42755</v>
      </c>
      <c r="G7" s="42" t="s">
        <v>116</v>
      </c>
      <c r="H7" s="43"/>
      <c r="I7" s="43"/>
      <c r="J7" s="43"/>
      <c r="K7" s="43"/>
      <c r="L7" s="44"/>
    </row>
    <row r="8" spans="1:18" ht="29.4" thickBot="1" x14ac:dyDescent="0.35">
      <c r="A8" s="3">
        <v>3005</v>
      </c>
      <c r="B8" s="4" t="s">
        <v>83</v>
      </c>
      <c r="C8" s="4" t="s">
        <v>84</v>
      </c>
      <c r="D8" s="4">
        <v>54149</v>
      </c>
      <c r="E8" s="25">
        <v>43005</v>
      </c>
    </row>
    <row r="9" spans="1:18" ht="29.4" thickBot="1" x14ac:dyDescent="0.35">
      <c r="A9" s="3">
        <v>3006</v>
      </c>
      <c r="B9" s="4" t="s">
        <v>85</v>
      </c>
      <c r="C9" s="4" t="s">
        <v>84</v>
      </c>
      <c r="D9" s="4">
        <v>78689</v>
      </c>
      <c r="E9" s="25">
        <v>43255</v>
      </c>
      <c r="G9" s="36" t="s">
        <v>117</v>
      </c>
      <c r="H9" s="36" t="s">
        <v>1</v>
      </c>
      <c r="I9" s="36" t="s">
        <v>74</v>
      </c>
      <c r="J9" s="36" t="s">
        <v>75</v>
      </c>
      <c r="K9" s="36" t="s">
        <v>76</v>
      </c>
    </row>
    <row r="10" spans="1:18" ht="29.4" thickBot="1" x14ac:dyDescent="0.35">
      <c r="A10" s="3">
        <v>3007</v>
      </c>
      <c r="B10" s="4" t="s">
        <v>86</v>
      </c>
      <c r="C10" s="4" t="s">
        <v>87</v>
      </c>
      <c r="D10" s="4">
        <v>35960</v>
      </c>
      <c r="E10" s="25">
        <v>43505</v>
      </c>
      <c r="G10" s="9">
        <v>3005</v>
      </c>
      <c r="H10" s="9" t="s">
        <v>118</v>
      </c>
      <c r="I10" s="9" t="s">
        <v>84</v>
      </c>
      <c r="J10" s="63">
        <v>54149</v>
      </c>
      <c r="K10" s="64">
        <v>43005</v>
      </c>
    </row>
    <row r="11" spans="1:18" ht="29.4" thickBot="1" x14ac:dyDescent="0.35">
      <c r="A11" s="3">
        <v>3008</v>
      </c>
      <c r="B11" s="4" t="s">
        <v>88</v>
      </c>
      <c r="C11" s="4" t="s">
        <v>84</v>
      </c>
      <c r="D11" s="4">
        <v>91659</v>
      </c>
      <c r="E11" s="25">
        <v>43755</v>
      </c>
    </row>
    <row r="12" spans="1:18" ht="29.4" thickBot="1" x14ac:dyDescent="0.35">
      <c r="A12" s="3">
        <v>3009</v>
      </c>
      <c r="B12" s="4" t="s">
        <v>89</v>
      </c>
      <c r="C12" s="4" t="s">
        <v>84</v>
      </c>
      <c r="D12" s="4">
        <v>90423</v>
      </c>
      <c r="E12" s="25">
        <v>44005</v>
      </c>
    </row>
    <row r="13" spans="1:18" ht="29.4" thickBot="1" x14ac:dyDescent="0.35">
      <c r="A13" s="3">
        <v>3010</v>
      </c>
      <c r="B13" s="4" t="s">
        <v>90</v>
      </c>
      <c r="C13" s="4" t="s">
        <v>81</v>
      </c>
      <c r="D13" s="4">
        <v>107877</v>
      </c>
      <c r="E13" s="25">
        <v>44255</v>
      </c>
    </row>
    <row r="14" spans="1:18" ht="29.4" thickBot="1" x14ac:dyDescent="0.35">
      <c r="A14" s="3">
        <v>3011</v>
      </c>
      <c r="B14" s="4" t="s">
        <v>91</v>
      </c>
      <c r="C14" s="4" t="s">
        <v>78</v>
      </c>
      <c r="D14" s="4">
        <v>107634</v>
      </c>
      <c r="E14" s="25">
        <v>44505</v>
      </c>
    </row>
    <row r="15" spans="1:18" ht="29.4" thickBot="1" x14ac:dyDescent="0.35">
      <c r="A15" s="3">
        <v>3012</v>
      </c>
      <c r="B15" s="4" t="s">
        <v>92</v>
      </c>
      <c r="C15" s="4" t="s">
        <v>78</v>
      </c>
      <c r="D15" s="4">
        <v>35226</v>
      </c>
      <c r="E15" s="25">
        <v>44755</v>
      </c>
    </row>
    <row r="16" spans="1:18" ht="29.4" thickBot="1" x14ac:dyDescent="0.35">
      <c r="A16" s="3">
        <v>3013</v>
      </c>
      <c r="B16" s="4" t="s">
        <v>93</v>
      </c>
      <c r="C16" s="4" t="s">
        <v>81</v>
      </c>
      <c r="D16" s="4">
        <v>40872</v>
      </c>
      <c r="E16" s="25">
        <v>45005</v>
      </c>
    </row>
    <row r="17" spans="1:5" ht="29.4" thickBot="1" x14ac:dyDescent="0.35">
      <c r="A17" s="3">
        <v>3014</v>
      </c>
      <c r="B17" s="4" t="s">
        <v>94</v>
      </c>
      <c r="C17" s="4" t="s">
        <v>81</v>
      </c>
      <c r="D17" s="4">
        <v>55378</v>
      </c>
      <c r="E17" s="25">
        <v>45255</v>
      </c>
    </row>
    <row r="18" spans="1:5" ht="29.4" thickBot="1" x14ac:dyDescent="0.35">
      <c r="A18" s="3">
        <v>3015</v>
      </c>
      <c r="B18" s="4" t="s">
        <v>95</v>
      </c>
      <c r="C18" s="4" t="s">
        <v>81</v>
      </c>
      <c r="D18" s="4">
        <v>63297</v>
      </c>
      <c r="E18" s="25">
        <v>45505</v>
      </c>
    </row>
    <row r="19" spans="1:5" ht="29.4" thickBot="1" x14ac:dyDescent="0.35">
      <c r="A19" s="3">
        <v>3016</v>
      </c>
      <c r="B19" s="4" t="s">
        <v>96</v>
      </c>
      <c r="C19" s="4" t="s">
        <v>78</v>
      </c>
      <c r="D19" s="4">
        <v>114173</v>
      </c>
      <c r="E19" s="25">
        <v>45755</v>
      </c>
    </row>
    <row r="20" spans="1:5" ht="29.4" thickBot="1" x14ac:dyDescent="0.35">
      <c r="A20" s="3">
        <v>3017</v>
      </c>
      <c r="B20" s="4" t="s">
        <v>97</v>
      </c>
      <c r="C20" s="4" t="s">
        <v>81</v>
      </c>
      <c r="D20" s="4">
        <v>86915</v>
      </c>
      <c r="E20" s="25">
        <v>46005</v>
      </c>
    </row>
    <row r="21" spans="1:5" ht="29.4" thickBot="1" x14ac:dyDescent="0.35">
      <c r="A21" s="3">
        <v>3018</v>
      </c>
      <c r="B21" s="4" t="s">
        <v>98</v>
      </c>
      <c r="C21" s="4" t="s">
        <v>84</v>
      </c>
      <c r="D21" s="4">
        <v>116284</v>
      </c>
      <c r="E21" s="25">
        <v>46255</v>
      </c>
    </row>
    <row r="22" spans="1:5" ht="29.4" thickBot="1" x14ac:dyDescent="0.35">
      <c r="A22" s="3">
        <v>3019</v>
      </c>
      <c r="B22" s="4" t="s">
        <v>99</v>
      </c>
      <c r="C22" s="4" t="s">
        <v>87</v>
      </c>
      <c r="D22" s="4">
        <v>116283</v>
      </c>
      <c r="E22" s="25">
        <v>46505</v>
      </c>
    </row>
    <row r="23" spans="1:5" ht="29.4" thickBot="1" x14ac:dyDescent="0.35">
      <c r="A23" s="3">
        <v>3020</v>
      </c>
      <c r="B23" s="4" t="s">
        <v>100</v>
      </c>
      <c r="C23" s="4" t="s">
        <v>87</v>
      </c>
      <c r="D23" s="4">
        <v>99924</v>
      </c>
      <c r="E23" s="25">
        <v>46755</v>
      </c>
    </row>
  </sheetData>
  <mergeCells count="3">
    <mergeCell ref="A1:R1"/>
    <mergeCell ref="G3:L3"/>
    <mergeCell ref="G7:L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Student Grade</vt:lpstr>
      <vt:lpstr>Sales Data</vt:lpstr>
      <vt:lpstr>Employees Data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Divy Oza</dc:creator>
  <cp:lastModifiedBy>Divy Oza</cp:lastModifiedBy>
  <dcterms:created xsi:type="dcterms:W3CDTF">2026-10-15T09:27:00Z</dcterms:created>
  <dcterms:modified xsi:type="dcterms:W3CDTF">2026-10-24T09:13:38Z</dcterms:modified>
</cp:coreProperties>
</file>